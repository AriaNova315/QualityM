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 filterPrivacy="1" defaultThemeVersion="124226"/>
  <xr:revisionPtr revIDLastSave="0" documentId="13_ncr:1_{6DCE42D8-E03D-A34E-923E-C63091E2BDEA}" xr6:coauthVersionLast="47" xr6:coauthVersionMax="47" xr10:uidLastSave="{00000000-0000-0000-0000-000000000000}"/>
  <bookViews>
    <workbookView minimized="1" xWindow="0" yWindow="760" windowWidth="30240" windowHeight="17680" tabRatio="865" xr2:uid="{00000000-000D-0000-FFFF-FFFF00000000}"/>
  </bookViews>
  <sheets>
    <sheet name="质量审核工作报告2025.8.25" sheetId="17" r:id="rId1"/>
    <sheet name="005产品审核报告-测量与分析计划2025.7.15" sheetId="22" r:id="rId2"/>
    <sheet name="006产品审核报告-质量保证计划2025.7.15" sheetId="41" r:id="rId3"/>
    <sheet name="007产品审核报告-配置管理计划2025.7.15" sheetId="42" r:id="rId4"/>
    <sheet name="008产品审核报告-软件开发计划2025.7.15" sheetId="43" r:id="rId5"/>
    <sheet name="009项目策划审核报告-2025.7.16" sheetId="45" r:id="rId6"/>
    <sheet name="010项目监控审核报告-2025.7.23（双周1）" sheetId="56" r:id="rId7"/>
    <sheet name="011测量与绩效管理审核报告-2025.7.23（双周1）" sheetId="55" r:id="rId8"/>
    <sheet name="012配置管理审核报告-2025.7.31 (月)" sheetId="48" r:id="rId9"/>
    <sheet name="013项目监控审核报告-2025.8.6（双周2）" sheetId="47" r:id="rId10"/>
    <sheet name="014测量与绩效管理审核报告-2025.8.6（双周2）" sheetId="46" r:id="rId11"/>
    <sheet name="015产品审核报告-软件需规2025.8.20" sheetId="49" r:id="rId12"/>
    <sheet name="016产品审核报告-软件测试计划2025.8.21" sheetId="54" r:id="rId13"/>
    <sheet name="017验证与确认审核报告-2025.8.22" sheetId="18" r:id="rId14"/>
    <sheet name="018项目监控审核报告-2025.8.25（阶段）" sheetId="50" r:id="rId15"/>
    <sheet name="019测量与绩效管理审核报告-2025.8.25（阶段）" sheetId="51" r:id="rId16"/>
    <sheet name="020需求开发与管理审核报告-2025.8.25" sheetId="37" r:id="rId17"/>
    <sheet name="021配置管理审核报告-2025.8.25" sheetId="3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4" i="17" l="1"/>
  <c r="K86" i="17"/>
  <c r="B86" i="17"/>
  <c r="A86" i="17"/>
  <c r="C84" i="17"/>
  <c r="K83" i="17"/>
  <c r="B83" i="17"/>
  <c r="A83" i="17"/>
  <c r="J62" i="17"/>
  <c r="I62" i="17"/>
  <c r="H62" i="17"/>
  <c r="G62" i="17"/>
  <c r="F62" i="17"/>
  <c r="E62" i="17"/>
  <c r="D62" i="17"/>
  <c r="C62" i="17"/>
  <c r="C58" i="17"/>
  <c r="K47" i="17"/>
  <c r="B47" i="17"/>
  <c r="A47" i="17"/>
  <c r="L44" i="17"/>
  <c r="K46" i="17"/>
  <c r="B46" i="17"/>
  <c r="A46" i="17"/>
  <c r="C44" i="17"/>
  <c r="K43" i="17"/>
  <c r="B43" i="17"/>
  <c r="A43" i="17"/>
  <c r="A42" i="17"/>
  <c r="K42" i="17"/>
  <c r="B42" i="17"/>
  <c r="L40" i="17"/>
  <c r="C40" i="17"/>
  <c r="K62" i="17"/>
  <c r="A57" i="17"/>
  <c r="C53" i="17"/>
  <c r="A52" i="17"/>
  <c r="D10" i="49"/>
  <c r="J10" i="56"/>
  <c r="H10" i="56"/>
  <c r="F10" i="56"/>
  <c r="D10" i="56"/>
  <c r="J10" i="55"/>
  <c r="H10" i="55"/>
  <c r="F10" i="55"/>
  <c r="D10" i="55"/>
  <c r="L58" i="17" l="1"/>
  <c r="L59" i="17" s="1"/>
  <c r="E58" i="17"/>
  <c r="I58" i="17"/>
  <c r="I59" i="17" s="1"/>
  <c r="L53" i="17"/>
  <c r="K53" i="17"/>
  <c r="K58" i="17"/>
  <c r="K59" i="17" s="1"/>
  <c r="I53" i="17"/>
  <c r="L62" i="17"/>
  <c r="E63" i="17" s="1"/>
  <c r="J36" i="17"/>
  <c r="I36" i="17"/>
  <c r="H36" i="17"/>
  <c r="G36" i="17"/>
  <c r="K63" i="17" l="1"/>
  <c r="J63" i="17"/>
  <c r="G63" i="17"/>
  <c r="I63" i="17"/>
  <c r="C63" i="17"/>
  <c r="H63" i="17"/>
  <c r="D63" i="17"/>
  <c r="F63" i="17"/>
  <c r="K75" i="17"/>
  <c r="K70" i="17"/>
  <c r="B71" i="17"/>
  <c r="K82" i="17"/>
  <c r="B82" i="17"/>
  <c r="A82" i="17"/>
  <c r="B75" i="17"/>
  <c r="A75" i="17"/>
  <c r="B70" i="17"/>
  <c r="A70" i="17"/>
  <c r="A71" i="17"/>
  <c r="K36" i="17"/>
  <c r="A31" i="17"/>
  <c r="C27" i="17"/>
  <c r="A26" i="17"/>
  <c r="F36" i="17"/>
  <c r="E36" i="17"/>
  <c r="D36" i="17"/>
  <c r="C36" i="17"/>
  <c r="E27" i="17" l="1"/>
  <c r="L36" i="17"/>
  <c r="F37" i="17" s="1"/>
  <c r="E37" i="17" l="1"/>
  <c r="C37" i="17"/>
  <c r="G37" i="17"/>
  <c r="J37" i="17"/>
  <c r="H37" i="17"/>
  <c r="D37" i="17"/>
  <c r="K37" i="17"/>
  <c r="I37" i="17"/>
  <c r="K101" i="17" l="1"/>
  <c r="J101" i="17"/>
  <c r="I101" i="17"/>
  <c r="G101" i="17"/>
  <c r="H101" i="17"/>
  <c r="F101" i="17"/>
  <c r="E101" i="17"/>
  <c r="D101" i="17"/>
  <c r="C101" i="17"/>
  <c r="C97" i="17"/>
  <c r="A96" i="17"/>
  <c r="A91" i="17"/>
  <c r="C92" i="17"/>
  <c r="L101" i="17" l="1"/>
  <c r="E102" i="17" s="1"/>
  <c r="E92" i="17"/>
  <c r="E97" i="17"/>
  <c r="I102" i="17" l="1"/>
  <c r="D102" i="17"/>
  <c r="K102" i="17"/>
  <c r="F102" i="17"/>
  <c r="G102" i="17"/>
  <c r="H102" i="17"/>
  <c r="C102" i="17"/>
  <c r="J102" i="17"/>
  <c r="J10" i="54" l="1"/>
  <c r="H10" i="54"/>
  <c r="F10" i="54"/>
  <c r="D10" i="54"/>
  <c r="L79" i="17" l="1"/>
  <c r="K81" i="17"/>
  <c r="B81" i="17"/>
  <c r="A81" i="17"/>
  <c r="C79" i="17"/>
  <c r="L76" i="17"/>
  <c r="K78" i="17"/>
  <c r="B78" i="17"/>
  <c r="A78" i="17"/>
  <c r="C76" i="17"/>
  <c r="B74" i="17"/>
  <c r="A74" i="17"/>
  <c r="K74" i="17"/>
  <c r="L72" i="17"/>
  <c r="C72" i="17"/>
  <c r="K69" i="17"/>
  <c r="K71" i="17"/>
  <c r="B69" i="17"/>
  <c r="A69" i="17"/>
  <c r="L66" i="17"/>
  <c r="K68" i="17"/>
  <c r="B68" i="17"/>
  <c r="A68" i="17"/>
  <c r="C66" i="17"/>
  <c r="K97" i="17" l="1"/>
  <c r="K98" i="17" s="1"/>
  <c r="I97" i="17"/>
  <c r="I98" i="17" s="1"/>
  <c r="L97" i="17"/>
  <c r="L98" i="17" s="1"/>
  <c r="K21" i="17"/>
  <c r="B21" i="17"/>
  <c r="A21" i="17"/>
  <c r="K20" i="17"/>
  <c r="B20" i="17"/>
  <c r="A20" i="17"/>
  <c r="L18" i="17"/>
  <c r="C18" i="17"/>
  <c r="L14" i="17"/>
  <c r="K17" i="17"/>
  <c r="K16" i="17"/>
  <c r="B17" i="17"/>
  <c r="A17" i="17"/>
  <c r="B16" i="17"/>
  <c r="A16" i="17"/>
  <c r="C14" i="17"/>
  <c r="L10" i="17"/>
  <c r="K13" i="17"/>
  <c r="K12" i="17"/>
  <c r="B13" i="17"/>
  <c r="B12" i="17"/>
  <c r="B8" i="17"/>
  <c r="A13" i="17"/>
  <c r="A12" i="17"/>
  <c r="C10" i="17"/>
  <c r="L32" i="17" l="1"/>
  <c r="I32" i="17"/>
  <c r="K32" i="17"/>
  <c r="J10" i="51"/>
  <c r="H10" i="51"/>
  <c r="F10" i="51"/>
  <c r="D10" i="51"/>
  <c r="J10" i="50"/>
  <c r="H10" i="50"/>
  <c r="F10" i="50"/>
  <c r="D10" i="50"/>
  <c r="J10" i="49"/>
  <c r="H10" i="49"/>
  <c r="F10" i="49"/>
  <c r="J10" i="48" l="1"/>
  <c r="H10" i="48"/>
  <c r="F10" i="48"/>
  <c r="D10" i="48"/>
  <c r="J10" i="47"/>
  <c r="H10" i="47"/>
  <c r="F10" i="47"/>
  <c r="D10" i="47"/>
  <c r="J10" i="46"/>
  <c r="H10" i="46"/>
  <c r="F10" i="46"/>
  <c r="D10" i="46"/>
  <c r="J10" i="45"/>
  <c r="H10" i="45"/>
  <c r="F10" i="45"/>
  <c r="D10" i="45"/>
  <c r="J10" i="43" l="1"/>
  <c r="H10" i="43"/>
  <c r="F10" i="43"/>
  <c r="D10" i="43"/>
  <c r="J10" i="42"/>
  <c r="H10" i="42"/>
  <c r="F10" i="42"/>
  <c r="D10" i="42"/>
  <c r="J10" i="41"/>
  <c r="H10" i="41"/>
  <c r="F10" i="41"/>
  <c r="D10" i="41"/>
  <c r="H10" i="22" l="1"/>
  <c r="J10" i="22"/>
  <c r="F10" i="22"/>
  <c r="J10" i="38" l="1"/>
  <c r="H10" i="38"/>
  <c r="F10" i="38"/>
  <c r="C6" i="17" l="1"/>
  <c r="L6" i="17" l="1"/>
  <c r="K9" i="17"/>
  <c r="K8" i="17" l="1"/>
  <c r="D10" i="38"/>
  <c r="J10" i="37"/>
  <c r="H10" i="37"/>
  <c r="F10" i="37"/>
  <c r="D10" i="37"/>
  <c r="L92" i="17" l="1"/>
  <c r="L93" i="17" s="1"/>
  <c r="I92" i="17"/>
  <c r="I93" i="17" s="1"/>
  <c r="K92" i="17"/>
  <c r="K93" i="17" s="1"/>
  <c r="L27" i="17"/>
  <c r="L28" i="17" s="1"/>
  <c r="K27" i="17"/>
  <c r="K28" i="17" s="1"/>
  <c r="I27" i="17"/>
  <c r="I28" i="17" s="1"/>
  <c r="D10" i="18"/>
  <c r="F10" i="18"/>
  <c r="H10" i="18"/>
  <c r="B9" i="17" l="1"/>
  <c r="A9" i="17"/>
  <c r="A8" i="17"/>
  <c r="D10" i="22"/>
  <c r="J10" i="18"/>
</calcChain>
</file>

<file path=xl/sharedStrings.xml><?xml version="1.0" encoding="utf-8"?>
<sst xmlns="http://schemas.openxmlformats.org/spreadsheetml/2006/main" count="909" uniqueCount="251">
  <si>
    <t>项目名称</t>
  </si>
  <si>
    <t>质量审核工作报告</t>
    <phoneticPr fontId="1" type="noConversion"/>
  </si>
  <si>
    <t>项目名称</t>
    <phoneticPr fontId="1" type="noConversion"/>
  </si>
  <si>
    <t>报告阶段</t>
    <phoneticPr fontId="1" type="noConversion"/>
  </si>
  <si>
    <t>项目QA</t>
    <phoneticPr fontId="1" type="noConversion"/>
  </si>
  <si>
    <t>审核对象（过程名称/产品名称）</t>
  </si>
  <si>
    <t>审核人</t>
  </si>
  <si>
    <t>审核依据</t>
  </si>
  <si>
    <t>审核内容概述：</t>
  </si>
  <si>
    <t>责任人</t>
  </si>
  <si>
    <t>提交日期</t>
  </si>
  <si>
    <t>计划关闭日期</t>
  </si>
  <si>
    <t>纠正措施验证情况：</t>
  </si>
  <si>
    <t>按严重程度统计NC</t>
  </si>
  <si>
    <t>不符合项问题（NC）列表</t>
  </si>
  <si>
    <t>所处阶段</t>
    <phoneticPr fontId="1" type="noConversion"/>
  </si>
  <si>
    <t>轻 微</t>
    <phoneticPr fontId="1" type="noConversion"/>
  </si>
  <si>
    <t>一 般</t>
    <phoneticPr fontId="1" type="noConversion"/>
  </si>
  <si>
    <t>严 重</t>
    <phoneticPr fontId="1" type="noConversion"/>
  </si>
  <si>
    <t>问题描述</t>
    <phoneticPr fontId="1" type="noConversion"/>
  </si>
  <si>
    <t>序 号</t>
    <phoneticPr fontId="1" type="noConversion"/>
  </si>
  <si>
    <t>严重程度</t>
    <phoneticPr fontId="1" type="noConversion"/>
  </si>
  <si>
    <t>纠正措施</t>
    <phoneticPr fontId="1" type="noConversion"/>
  </si>
  <si>
    <t xml:space="preserve"> 
                                                     验证人/日期：</t>
    <phoneticPr fontId="1" type="noConversion"/>
  </si>
  <si>
    <t>过程/产品审核报告</t>
    <phoneticPr fontId="1" type="noConversion"/>
  </si>
  <si>
    <t>严重程度</t>
    <phoneticPr fontId="1" type="noConversion"/>
  </si>
  <si>
    <t>严重</t>
    <phoneticPr fontId="1" type="noConversion"/>
  </si>
  <si>
    <t>NC总数</t>
    <phoneticPr fontId="1" type="noConversion"/>
  </si>
  <si>
    <t>不符合项列表</t>
    <phoneticPr fontId="1" type="noConversion"/>
  </si>
  <si>
    <t>是否关闭</t>
    <phoneticPr fontId="1" type="noConversion"/>
  </si>
  <si>
    <t>是</t>
    <phoneticPr fontId="1" type="noConversion"/>
  </si>
  <si>
    <t>PMC</t>
  </si>
  <si>
    <t>CM</t>
  </si>
  <si>
    <t>所占比例</t>
    <phoneticPr fontId="1" type="noConversion"/>
  </si>
  <si>
    <t>结束时间</t>
    <phoneticPr fontId="1" type="noConversion"/>
  </si>
  <si>
    <t>审核时间</t>
    <phoneticPr fontId="1" type="noConversion"/>
  </si>
  <si>
    <t>报告起止日期</t>
    <phoneticPr fontId="1" type="noConversion"/>
  </si>
  <si>
    <t>工作产品</t>
    <phoneticPr fontId="1" type="noConversion"/>
  </si>
  <si>
    <t>NC类型</t>
    <phoneticPr fontId="1" type="noConversion"/>
  </si>
  <si>
    <t>审核过程/产品名称</t>
    <phoneticPr fontId="1" type="noConversion"/>
  </si>
  <si>
    <t>阶段汇总统计：</t>
    <phoneticPr fontId="1" type="noConversion"/>
  </si>
  <si>
    <t>数据分析</t>
    <phoneticPr fontId="1" type="noConversion"/>
  </si>
  <si>
    <t xml:space="preserve">本次审核内容包括：
  1） 评审会的组织过程。
  2） 评审会的参与人员符合性。
  3） 对评审缺陷的处理。
  经审核，未发现不符合项。
</t>
    <phoneticPr fontId="1" type="noConversion"/>
  </si>
  <si>
    <t>审核日期</t>
    <phoneticPr fontId="1" type="noConversion"/>
  </si>
  <si>
    <t>审核情况汇总</t>
    <phoneticPr fontId="1" type="noConversion"/>
  </si>
  <si>
    <t>审核日期</t>
    <phoneticPr fontId="1" type="noConversion"/>
  </si>
  <si>
    <t>起始时间</t>
    <phoneticPr fontId="1" type="noConversion"/>
  </si>
  <si>
    <t>项目名称</t>
    <phoneticPr fontId="1" type="noConversion"/>
  </si>
  <si>
    <t>CM</t>
    <phoneticPr fontId="1" type="noConversion"/>
  </si>
  <si>
    <t>纠正措施已实施，不符合项问题均按期关闭。 
                                                     验证人/日期：</t>
    <phoneticPr fontId="1" type="noConversion"/>
  </si>
  <si>
    <t>纠正措施已实施，不符合项问题均按期关闭。
                                                     验证人/日期：</t>
    <phoneticPr fontId="1" type="noConversion"/>
  </si>
  <si>
    <t>高蕾</t>
  </si>
  <si>
    <t>一般</t>
    <phoneticPr fontId="1" type="noConversion"/>
  </si>
  <si>
    <t>需求开发与管理</t>
    <phoneticPr fontId="1" type="noConversion"/>
  </si>
  <si>
    <t>验证与确认</t>
    <phoneticPr fontId="1" type="noConversion"/>
  </si>
  <si>
    <t>配置管理</t>
    <phoneticPr fontId="1" type="noConversion"/>
  </si>
  <si>
    <t>轻微</t>
    <phoneticPr fontId="1" type="noConversion"/>
  </si>
  <si>
    <t>方小娟</t>
    <phoneticPr fontId="1" type="noConversion"/>
  </si>
  <si>
    <t xml:space="preserve">
                                                     验证人/日期：</t>
    <phoneticPr fontId="1" type="noConversion"/>
  </si>
  <si>
    <t>RDM</t>
    <phoneticPr fontId="1" type="noConversion"/>
  </si>
  <si>
    <t>MT</t>
    <phoneticPr fontId="1" type="noConversion"/>
  </si>
  <si>
    <t>MPM</t>
    <phoneticPr fontId="1" type="noConversion"/>
  </si>
  <si>
    <t>VV</t>
    <phoneticPr fontId="1" type="noConversion"/>
  </si>
  <si>
    <t>《软件质量保证计划》</t>
    <phoneticPr fontId="1" type="noConversion"/>
  </si>
  <si>
    <t>《软件测量与分析计划》</t>
    <phoneticPr fontId="1" type="noConversion"/>
  </si>
  <si>
    <t>《配置管理计划》</t>
    <phoneticPr fontId="1" type="noConversion"/>
  </si>
  <si>
    <t>《软件开发计划》</t>
    <phoneticPr fontId="1" type="noConversion"/>
  </si>
  <si>
    <t>软件需求分析</t>
    <phoneticPr fontId="1" type="noConversion"/>
  </si>
  <si>
    <t>项目策划</t>
    <phoneticPr fontId="1" type="noConversion"/>
  </si>
  <si>
    <t>软件需求规格说明</t>
    <phoneticPr fontId="1" type="noConversion"/>
  </si>
  <si>
    <t>测量与绩效管理</t>
    <phoneticPr fontId="1" type="noConversion"/>
  </si>
  <si>
    <t>一般</t>
    <phoneticPr fontId="1" type="noConversion"/>
  </si>
  <si>
    <t>对照软件开发计划的进度安排修改表8测量活动时间段</t>
    <phoneticPr fontId="1" type="noConversion"/>
  </si>
  <si>
    <t>高蕾</t>
    <phoneticPr fontId="1" type="noConversion"/>
  </si>
  <si>
    <t>方小娟</t>
    <phoneticPr fontId="1" type="noConversion"/>
  </si>
  <si>
    <t>项目监控</t>
    <phoneticPr fontId="1" type="noConversion"/>
  </si>
  <si>
    <t>本节点未对利益相关方参与计划进行跟踪</t>
    <phoneticPr fontId="1" type="noConversion"/>
  </si>
  <si>
    <t>补利益相关方参与计划跟踪记录</t>
    <phoneticPr fontId="1" type="noConversion"/>
  </si>
  <si>
    <t>未见本阶段的需求管理情况工作报告</t>
    <phoneticPr fontId="1" type="noConversion"/>
  </si>
  <si>
    <t xml:space="preserve">审核内容概述：
 本次审核的产品为测量与分析计划，审核内容包括：
1）编写的规范性；
2）与其它相关文档的一致性；
3）内容的完整性和正确性；
4）上下文的一致性；
5）对模板的符合性。
经审核，发现2个不符合项。
</t>
    <phoneticPr fontId="1" type="noConversion"/>
  </si>
  <si>
    <t xml:space="preserve">审核内容概述：
 本次审核的产品为质量保证计划，审核内容包括：
1）编写的规范性；
2）与其它相关文档的一致性；
3）内容的完整性和正确性；
4）上下文的一致性；
5）对模板的符合性。
经审核，发现2个不符合项。
</t>
    <phoneticPr fontId="1" type="noConversion"/>
  </si>
  <si>
    <t xml:space="preserve">审核内容概述：
 本次审核的产品为配置管理计划，审核内容包括：
1）编写的规范性；
2）与其它相关文档的一致性；
3）内容的完整性和正确性；
4）上下文的一致性；
5）对模板的符合性。
经审核，发现2个不符合项。
</t>
    <phoneticPr fontId="1" type="noConversion"/>
  </si>
  <si>
    <t xml:space="preserve">
本次审核内容包括：
1） 策划准备活动。
2） 策划参数估计过程。
3） 项目计划的制定。
4） 对计划的承诺。
经审核，各项活动的流程、参与人员等均符合体系文件要求，未发现不符合项。
</t>
    <phoneticPr fontId="1" type="noConversion"/>
  </si>
  <si>
    <t xml:space="preserve">
本次审核内容包括：
1）测量与分析活动的策划；
2）测量与分析活动的实施；
3）测量分析报告的编写
经审核，各项活动的流程、参与人员等均符合体系文件要求，未发现不符合项
</t>
    <phoneticPr fontId="1" type="noConversion"/>
  </si>
  <si>
    <t>双周汇总统计：</t>
    <phoneticPr fontId="1" type="noConversion"/>
  </si>
  <si>
    <t>PMC</t>
    <phoneticPr fontId="1" type="noConversion"/>
  </si>
  <si>
    <t>RDM</t>
    <phoneticPr fontId="1" type="noConversion"/>
  </si>
  <si>
    <t>刘喻</t>
    <phoneticPr fontId="1" type="noConversion"/>
  </si>
  <si>
    <t>一般</t>
    <phoneticPr fontId="1" type="noConversion"/>
  </si>
  <si>
    <t xml:space="preserve">本次审核软件测试计划，审核内容包括：
1） 编写的规范性；
2） 与其它相关文档的一致性；
3） 对模板的符合性；
4） 上下文的一致性；
5） 内容的正确性。
 经审核，未发现不符合项。
</t>
    <phoneticPr fontId="1" type="noConversion"/>
  </si>
  <si>
    <t>项目进展报告缺少项目总监签字</t>
    <phoneticPr fontId="1" type="noConversion"/>
  </si>
  <si>
    <t>补本阶段的需求管理情况工作报告</t>
    <phoneticPr fontId="1" type="noConversion"/>
  </si>
  <si>
    <t>本阶段项目进展报告补项目总监的签字</t>
    <phoneticPr fontId="1" type="noConversion"/>
  </si>
  <si>
    <t>未见本阶段的需求管理情况工作报告</t>
    <phoneticPr fontId="1" type="noConversion"/>
  </si>
  <si>
    <t>补本阶段的需求管理情况工作报告</t>
    <phoneticPr fontId="1" type="noConversion"/>
  </si>
  <si>
    <t xml:space="preserve">
审核内容概述：
本次审核内容包括：
1） 配置管理库的管理和维护。
2） 软件需规的入库流程。
3） 分配基线的建立、审批和发布。
4） 配置状态纪实。
5） 配置审核。
 经审核，发现2个不符合项。
</t>
    <phoneticPr fontId="1" type="noConversion"/>
  </si>
  <si>
    <t>本双周审核的实践域包括：项目策划、测量与绩效管理、项目监控；
审核的工作产品包括：软件开发计划、软件测量与分析计划、软件质量保证计划、软件配置管理计划</t>
    <phoneticPr fontId="1" type="noConversion"/>
  </si>
  <si>
    <t>产品NC统计</t>
    <phoneticPr fontId="1" type="noConversion"/>
  </si>
  <si>
    <t>产品NC总数</t>
    <phoneticPr fontId="1" type="noConversion"/>
  </si>
  <si>
    <t>关闭情况</t>
    <phoneticPr fontId="1" type="noConversion"/>
  </si>
  <si>
    <t>按严重程度分布情况</t>
    <phoneticPr fontId="1" type="noConversion"/>
  </si>
  <si>
    <t>未关闭的产品NC数</t>
    <phoneticPr fontId="1" type="noConversion"/>
  </si>
  <si>
    <t>产品NC关闭率</t>
    <phoneticPr fontId="1" type="noConversion"/>
  </si>
  <si>
    <t>NC数</t>
    <phoneticPr fontId="1" type="noConversion"/>
  </si>
  <si>
    <t>过程NC统计</t>
    <phoneticPr fontId="1" type="noConversion"/>
  </si>
  <si>
    <t>过程NC总数</t>
    <phoneticPr fontId="1" type="noConversion"/>
  </si>
  <si>
    <t>未关闭的过程NC数</t>
    <phoneticPr fontId="1" type="noConversion"/>
  </si>
  <si>
    <t>过程NC关闭率</t>
    <phoneticPr fontId="1" type="noConversion"/>
  </si>
  <si>
    <t>过程及产品NC占比统计</t>
    <phoneticPr fontId="1" type="noConversion"/>
  </si>
  <si>
    <t>NC分布情况</t>
    <phoneticPr fontId="1" type="noConversion"/>
  </si>
  <si>
    <t>PP</t>
    <phoneticPr fontId="1" type="noConversion"/>
  </si>
  <si>
    <t>II（双周）</t>
    <phoneticPr fontId="1" type="noConversion"/>
  </si>
  <si>
    <t>总计</t>
    <phoneticPr fontId="1" type="noConversion"/>
  </si>
  <si>
    <t>─</t>
    <phoneticPr fontId="1" type="noConversion"/>
  </si>
  <si>
    <t xml:space="preserve">
本次审核内容包括：
1） 个人工作报告的填写；
2） 对工作量、进度、风险、任务等的跟踪；
3） 项目例会的组织；
4)  项目进展报告的编写
 经审核，发现2个不符合项。
</t>
    <phoneticPr fontId="1" type="noConversion"/>
  </si>
  <si>
    <t>NC数</t>
    <phoneticPr fontId="1" type="noConversion"/>
  </si>
  <si>
    <t>所占比例</t>
    <phoneticPr fontId="1" type="noConversion"/>
  </si>
  <si>
    <t>过程NC统计</t>
    <phoneticPr fontId="1" type="noConversion"/>
  </si>
  <si>
    <t>过程NC总数</t>
    <phoneticPr fontId="1" type="noConversion"/>
  </si>
  <si>
    <t>关闭情况</t>
    <phoneticPr fontId="1" type="noConversion"/>
  </si>
  <si>
    <t>按严重程度分布情况</t>
    <phoneticPr fontId="1" type="noConversion"/>
  </si>
  <si>
    <t>未关闭的过程NC数</t>
    <phoneticPr fontId="1" type="noConversion"/>
  </si>
  <si>
    <t>过程NC关闭率</t>
    <phoneticPr fontId="1" type="noConversion"/>
  </si>
  <si>
    <t>轻微</t>
    <phoneticPr fontId="1" type="noConversion"/>
  </si>
  <si>
    <t>一般</t>
    <phoneticPr fontId="1" type="noConversion"/>
  </si>
  <si>
    <t>严重</t>
    <phoneticPr fontId="1" type="noConversion"/>
  </si>
  <si>
    <t>过程及产品NC占比统计</t>
    <phoneticPr fontId="1" type="noConversion"/>
  </si>
  <si>
    <t>NC分布情况</t>
    <phoneticPr fontId="1" type="noConversion"/>
  </si>
  <si>
    <t>RDM</t>
    <phoneticPr fontId="1" type="noConversion"/>
  </si>
  <si>
    <t>PP</t>
    <phoneticPr fontId="1" type="noConversion"/>
  </si>
  <si>
    <t>MT</t>
    <phoneticPr fontId="1" type="noConversion"/>
  </si>
  <si>
    <t>MPM</t>
    <phoneticPr fontId="1" type="noConversion"/>
  </si>
  <si>
    <t>VV</t>
    <phoneticPr fontId="1" type="noConversion"/>
  </si>
  <si>
    <t>II</t>
    <phoneticPr fontId="1" type="noConversion"/>
  </si>
  <si>
    <t>工作产品</t>
    <phoneticPr fontId="1" type="noConversion"/>
  </si>
  <si>
    <t>总计</t>
    <phoneticPr fontId="1" type="noConversion"/>
  </si>
  <si>
    <t>─</t>
    <phoneticPr fontId="1" type="noConversion"/>
  </si>
  <si>
    <t>纠正措施已实施，不符合项问题均按期关闭。
                                                     验证人/日期：</t>
    <phoneticPr fontId="1" type="noConversion"/>
  </si>
  <si>
    <t>编号：ZDPX-2022020/0.0-QA-质量报告-002</t>
  </si>
  <si>
    <t>编号：ZDPX-2022020/0.0-QA-审核报告-005</t>
  </si>
  <si>
    <t>ZDPX-2022020/0.0-QA-检查单-005</t>
  </si>
  <si>
    <t>编号：ZDPX-2022020/0.0-QA-审核报告-006</t>
  </si>
  <si>
    <t>ZDPX-2022020/0.0-QA-检查单-006</t>
  </si>
  <si>
    <t>编号：ZDPX-2022020/0.0-QA-审核报告-007</t>
  </si>
  <si>
    <t>ZDPX-2022020/0.0-QA-检查单-007</t>
  </si>
  <si>
    <t>编号：ZDPX-2022020/0.0-QA-审核报告-008</t>
  </si>
  <si>
    <t>ZDPX-2022020/0.0-QA-检查单-008</t>
  </si>
  <si>
    <t>编号：ZDPX-2022020/0.0-QA-审核报告-009</t>
  </si>
  <si>
    <t>ZDPX-2022020/0.0-QA-检查单-009</t>
  </si>
  <si>
    <t>编号：ZDPX-2022020/0.0-QA-审核报告-011</t>
  </si>
  <si>
    <t>王佳康</t>
    <phoneticPr fontId="1" type="noConversion"/>
  </si>
  <si>
    <t>2025.7.15</t>
    <phoneticPr fontId="1" type="noConversion"/>
  </si>
  <si>
    <t>2025.7.16</t>
    <phoneticPr fontId="1" type="noConversion"/>
  </si>
  <si>
    <t>表2测量工作相关人员中，测试人员应为吴丹和李德馨</t>
    <phoneticPr fontId="1" type="noConversion"/>
  </si>
  <si>
    <t>表8中部分阶段的测量时机和开发计划中的进度安排不一</t>
    <phoneticPr fontId="1" type="noConversion"/>
  </si>
  <si>
    <t>修改表2，测试人员改为吴丹、李德馨</t>
    <phoneticPr fontId="1" type="noConversion"/>
  </si>
  <si>
    <t>6.4节，产品审核对象中有配置项测试计划、合格性测试说明、合格性测试报告，与上下文不一致，另外缺少技术说明书、软件使用说明书等。</t>
    <phoneticPr fontId="1" type="noConversion"/>
  </si>
  <si>
    <t>表5阶段划分，缺少出厂检验和验收交付阶段</t>
    <phoneticPr fontId="1" type="noConversion"/>
  </si>
  <si>
    <t>2025.7.16</t>
    <phoneticPr fontId="1" type="noConversion"/>
  </si>
  <si>
    <t>表5中增加出厂检验阶段、验收交付阶段</t>
    <phoneticPr fontId="1" type="noConversion"/>
  </si>
  <si>
    <t>修改6.4节，合格性测试说明、合格性测试报告改为配置项测试说明和配置项测试报告</t>
    <phoneticPr fontId="1" type="noConversion"/>
  </si>
  <si>
    <t>4.1节中，通过配置项测试后的源代码版本应是V0.1.0</t>
    <phoneticPr fontId="1" type="noConversion"/>
  </si>
  <si>
    <t>表3配置项清单中遗漏了技术说明书和培训教材</t>
    <phoneticPr fontId="1" type="noConversion"/>
  </si>
  <si>
    <t>修改4.1节，通过配置项测试的源代码版本从V0.1.0开始</t>
    <phoneticPr fontId="1" type="noConversion"/>
  </si>
  <si>
    <t>表3配置项清单中增加技术说明书和培训教材</t>
    <phoneticPr fontId="1" type="noConversion"/>
  </si>
  <si>
    <t>表3-1项目文档要求与软件研制任务书不一致，缺少培训教材</t>
    <phoneticPr fontId="1" type="noConversion"/>
  </si>
  <si>
    <t>5.2.6出厂所检验的工作内容与本项目合同要求的不一致。</t>
    <phoneticPr fontId="1" type="noConversion"/>
  </si>
  <si>
    <t>表3-1项目文档增加培训教材</t>
    <phoneticPr fontId="1" type="noConversion"/>
  </si>
  <si>
    <t>对照合同要求修改5.2.6出厂所检验的工作内容</t>
    <phoneticPr fontId="1" type="noConversion"/>
  </si>
  <si>
    <t>编号：ZDPX-2022020/0.0-QA-审核报告-010</t>
    <phoneticPr fontId="1" type="noConversion"/>
  </si>
  <si>
    <t>ZDPX-2022020/0.0-QA-检查单-010</t>
    <phoneticPr fontId="1" type="noConversion"/>
  </si>
  <si>
    <t xml:space="preserve">
                                                     验证人/日期：</t>
    <phoneticPr fontId="1" type="noConversion"/>
  </si>
  <si>
    <t xml:space="preserve">
本次审核内容包括：
1） 个人工作报告的填写；
2） 对工作量、进度、风险、任务等的跟踪；
3） 项目例会的组织；
4)  项目进展报告的编写
 经审核，未发现不符合项。
</t>
    <phoneticPr fontId="1" type="noConversion"/>
  </si>
  <si>
    <t>ZDPX-2022020/0.0-QA-检查单-011</t>
    <phoneticPr fontId="1" type="noConversion"/>
  </si>
  <si>
    <t>编号：ZDPX-2022020/0.0-QA-审核报告-012</t>
    <phoneticPr fontId="1" type="noConversion"/>
  </si>
  <si>
    <t>ZDPX-2022020/0.0-QA-检查单-012</t>
    <phoneticPr fontId="1" type="noConversion"/>
  </si>
  <si>
    <t>入库单002中，质量保证计划的标识填写错误。</t>
    <phoneticPr fontId="1" type="noConversion"/>
  </si>
  <si>
    <t>2025.7.31</t>
    <phoneticPr fontId="1" type="noConversion"/>
  </si>
  <si>
    <t>2025.8.1</t>
    <phoneticPr fontId="1" type="noConversion"/>
  </si>
  <si>
    <t>修改入库单中质量保证计划的标识</t>
    <phoneticPr fontId="1" type="noConversion"/>
  </si>
  <si>
    <t>编号：ZDPX-2022020/0.0-QA-审核报告-013</t>
    <phoneticPr fontId="1" type="noConversion"/>
  </si>
  <si>
    <t>ZDPX-2022020/0.0-QA-检查单-013</t>
    <phoneticPr fontId="1" type="noConversion"/>
  </si>
  <si>
    <t>配置管理清单002中，质量保证计划的标识错误。</t>
    <phoneticPr fontId="1" type="noConversion"/>
  </si>
  <si>
    <t>轻微</t>
    <phoneticPr fontId="1" type="noConversion"/>
  </si>
  <si>
    <t>修改配置管理清单002中错误的标识</t>
    <phoneticPr fontId="1" type="noConversion"/>
  </si>
  <si>
    <t xml:space="preserve">
审核内容概述：
本次审核内容包括：
1） 配置管理库的管理和维护。
2） 软件开发计划等工作产品的入库流程。
3） 配置状态纪实。
4） 配置审核。
 经审核，发现2个不符合项。
</t>
    <phoneticPr fontId="1" type="noConversion"/>
  </si>
  <si>
    <t>2025.8.6</t>
    <phoneticPr fontId="1" type="noConversion"/>
  </si>
  <si>
    <t>2025.8.7</t>
    <phoneticPr fontId="1" type="noConversion"/>
  </si>
  <si>
    <t>编号：ZDPX-2022020/0.0-QA-审核报告-014</t>
    <phoneticPr fontId="1" type="noConversion"/>
  </si>
  <si>
    <t>ZDPX-2022020/0.0-QA-检查单-014</t>
    <phoneticPr fontId="1" type="noConversion"/>
  </si>
  <si>
    <t>编号：ZDPX-2022020/0.0-QA-审核报告-015</t>
    <phoneticPr fontId="1" type="noConversion"/>
  </si>
  <si>
    <t>ZDPX-2022020/0.0-QA-检查单-015</t>
    <phoneticPr fontId="1" type="noConversion"/>
  </si>
  <si>
    <t>王佳康</t>
    <phoneticPr fontId="1" type="noConversion"/>
  </si>
  <si>
    <t>2025.8.20</t>
    <phoneticPr fontId="1" type="noConversion"/>
  </si>
  <si>
    <t>2025.8.22</t>
    <phoneticPr fontId="1" type="noConversion"/>
  </si>
  <si>
    <t>编号：ZDPX-2022020/0.0-QA-审核报告-016</t>
    <phoneticPr fontId="1" type="noConversion"/>
  </si>
  <si>
    <t>ZDPX-2022020/0.0-QA-检查单-016</t>
    <phoneticPr fontId="1" type="noConversion"/>
  </si>
  <si>
    <t>配置项测试计划</t>
    <phoneticPr fontId="1" type="noConversion"/>
  </si>
  <si>
    <t>编号：ZDPX-2022020/0.0-QA-审核报告-017</t>
    <phoneticPr fontId="1" type="noConversion"/>
  </si>
  <si>
    <t>ZDPX-2022020/0.0-QA-检查单-017</t>
    <phoneticPr fontId="1" type="noConversion"/>
  </si>
  <si>
    <t>编号：ZDPX-2022020/0.0-QA-审核报告-018</t>
    <phoneticPr fontId="1" type="noConversion"/>
  </si>
  <si>
    <t>ZDPX-2022020/0.0-QA-检查单-018</t>
    <phoneticPr fontId="1" type="noConversion"/>
  </si>
  <si>
    <t>2025.8.25</t>
    <phoneticPr fontId="1" type="noConversion"/>
  </si>
  <si>
    <t>编号：ZDPX-2022020/0.0-QA-审核报告-019</t>
    <phoneticPr fontId="1" type="noConversion"/>
  </si>
  <si>
    <t>ZDPX-2022020/0.0-QA-检查单-019</t>
    <phoneticPr fontId="1" type="noConversion"/>
  </si>
  <si>
    <t>未见对配置项测试计划规模的采集数据</t>
    <phoneticPr fontId="1" type="noConversion"/>
  </si>
  <si>
    <t>一般</t>
    <phoneticPr fontId="1" type="noConversion"/>
  </si>
  <si>
    <t>2025.8.25</t>
    <phoneticPr fontId="1" type="noConversion"/>
  </si>
  <si>
    <t>2025.8.27</t>
    <phoneticPr fontId="1" type="noConversion"/>
  </si>
  <si>
    <t>补交配置项测试计划规模采集数据</t>
    <phoneticPr fontId="1" type="noConversion"/>
  </si>
  <si>
    <t xml:space="preserve">
本次审核内容包括：
1）测量与分析活动的实施；
2）测量分析报告的编写
 经审核，发现1个不符合项。
</t>
    <phoneticPr fontId="1" type="noConversion"/>
  </si>
  <si>
    <t>编号：ZDPX-2022020/0.0-QA-审核报告-020</t>
    <phoneticPr fontId="1" type="noConversion"/>
  </si>
  <si>
    <t>ZDPX-2022020/0.0-QA-检查单-020</t>
    <phoneticPr fontId="1" type="noConversion"/>
  </si>
  <si>
    <t xml:space="preserve">
本次审核内容包括：
1）软件需求的开发与确认；
2）需求管理活动的策划；
3）分配基线的建立；
4）软件开发计划与软件研制任务书的追踪关系 
5）需求规格说明与研制任务书的追踪关系
6）配置项测试计划与软件需求规格说明的追踪关系。
7）需求管理工作报告
 经审核，发现1个不符合项。</t>
    <phoneticPr fontId="1" type="noConversion"/>
  </si>
  <si>
    <t>编号：ZDPX-2022020/0.0-QA-审核报告-021</t>
    <phoneticPr fontId="1" type="noConversion"/>
  </si>
  <si>
    <t>ZDPX-2022020/0.0-QA-检查单-021</t>
    <phoneticPr fontId="1" type="noConversion"/>
  </si>
  <si>
    <t>纠正措施验证情况：</t>
    <phoneticPr fontId="1" type="noConversion"/>
  </si>
  <si>
    <t>受控库中配置项测试计划缺少标识</t>
    <phoneticPr fontId="1" type="noConversion"/>
  </si>
  <si>
    <t>基线发布单缺少项目总监签字</t>
    <phoneticPr fontId="1" type="noConversion"/>
  </si>
  <si>
    <t>分配基线审核报告缺少功能审核的内容</t>
    <phoneticPr fontId="1" type="noConversion"/>
  </si>
  <si>
    <t>方小娟</t>
    <phoneticPr fontId="1" type="noConversion"/>
  </si>
  <si>
    <t xml:space="preserve">审核内容概述：
本次审核的产品为软件开发计划，审核内容包括：
1） 编写的规范性；
2） 与其它相关文档的一致性；
3） 对模板的符合性；
4） 上下文的一致性；
5） 内容的正确性。
经审核，发现2个不符合项。
</t>
    <phoneticPr fontId="1" type="noConversion"/>
  </si>
  <si>
    <t>2025.7.9-2025.8.25</t>
    <phoneticPr fontId="1" type="noConversion"/>
  </si>
  <si>
    <t>—</t>
    <phoneticPr fontId="1" type="noConversion"/>
  </si>
  <si>
    <t>本双周共发现8个不符合项，主要分布在工作产品中，无严重不符合项。文档编写出现的小问题较多，相关责任人需提高责任心，减少文档编写中的低级错误。</t>
    <phoneticPr fontId="1" type="noConversion"/>
  </si>
  <si>
    <t>孙迎斌未提交周报</t>
    <phoneticPr fontId="1" type="noConversion"/>
  </si>
  <si>
    <t>孙迎斌</t>
    <phoneticPr fontId="1" type="noConversion"/>
  </si>
  <si>
    <t>孙迎斌补提交周报</t>
    <phoneticPr fontId="1" type="noConversion"/>
  </si>
  <si>
    <t xml:space="preserve">
本次审核内容包括：
1） 个人工作报告的填写；
2） 对工作量、进度、风险、任务等的跟踪；
3） 项目例会的组织；
4)  项目进展报告的编写
 经审核，发现2个不符合项。
</t>
    <phoneticPr fontId="1" type="noConversion"/>
  </si>
  <si>
    <t>本双周审核的实践域包括：配置管理、测量与绩效管理、项目监控</t>
    <phoneticPr fontId="1" type="noConversion"/>
  </si>
  <si>
    <t>过程NC统计</t>
    <phoneticPr fontId="1" type="noConversion"/>
  </si>
  <si>
    <t>本双周共发现4个不符合项，主要分布在项目监控和配置管理实践域中，无严重不符合项。相关责任人工作不够仔细，需提高质量意识。</t>
    <phoneticPr fontId="1" type="noConversion"/>
  </si>
  <si>
    <t>本阶段审核的实践域包括：项目策划、测量与绩效管理、项目监控、需求开发与管理、验证与确认、配置管理。
审核的产品包括：软件开发计划、软件测量与分析计划、软件质量保证计划、软件配置管理计划、软件需求规格说明、配置项测试计划</t>
    <phoneticPr fontId="1" type="noConversion"/>
  </si>
  <si>
    <t>检查受控库中所有配置项的标识，补充缺失的标识</t>
    <phoneticPr fontId="1" type="noConversion"/>
  </si>
  <si>
    <t>基线发布单提交给项目总监签字</t>
    <phoneticPr fontId="1" type="noConversion"/>
  </si>
  <si>
    <t>重新进行分配基线审核并完成审核报告</t>
    <phoneticPr fontId="1" type="noConversion"/>
  </si>
  <si>
    <t>否</t>
    <phoneticPr fontId="1" type="noConversion"/>
  </si>
  <si>
    <t>2025.8.27</t>
    <phoneticPr fontId="1" type="noConversion"/>
  </si>
  <si>
    <t>本阶段共发现23个不符合项，截止报告期，产品不符合项关闭率为100%，过程不符合项关闭率81.82%，未关闭的不符合项主要是项目总监出差，无法及时完成签署。此外，工作产品中的不符合项占比约占50%。相关人员仍需加强对438C标准的学习，提高技术文档的编写质量。</t>
    <phoneticPr fontId="1" type="noConversion"/>
  </si>
  <si>
    <t>测控体系辅助业务系统</t>
  </si>
  <si>
    <t>测控体系辅助业务系统</t>
    <phoneticPr fontId="1" type="noConversion"/>
  </si>
  <si>
    <t>3.3.1测控方案设计功能、3.3.2任务监视功能、3.3.3预警信息模拟功能、3.3.5效能评估功能需要细化，未能覆盖任务书中的要求。</t>
    <phoneticPr fontId="1" type="noConversion"/>
  </si>
  <si>
    <t>对照任务书对3.3.1测控方案设计功能、3.3.2任务监视功能、3.3.3预警信息模拟功能、3.3.5效能评估功能进行细化</t>
    <phoneticPr fontId="1" type="noConversion"/>
  </si>
  <si>
    <t>建议增加各功能点涉及到的算法、模型及指标体系内容。</t>
    <phoneticPr fontId="1" type="noConversion"/>
  </si>
  <si>
    <t>增加第10章主要算法、模型、指标体系说明</t>
    <phoneticPr fontId="1" type="noConversion"/>
  </si>
  <si>
    <t>第7章非功能性需求增加7.2设计和实现约束、7.3环境需求。</t>
    <phoneticPr fontId="1" type="noConversion"/>
  </si>
  <si>
    <t>缺少任务中的环境需求</t>
    <phoneticPr fontId="1" type="noConversion"/>
  </si>
  <si>
    <t>缺少任务书中设计和实现约束相关内容</t>
    <phoneticPr fontId="1" type="noConversion"/>
  </si>
  <si>
    <t>本次审核的需求规格说明，审核内容包括：
1） 编写的规范性；
2） 与其它相关文档的一致性；
3） 对模板的符合性；
4） 上下文的一致性；
5） 内容的正确性。
 经审核，发现4个不符合项。</t>
    <phoneticPr fontId="1" type="noConversion"/>
  </si>
  <si>
    <t>纠正措施已实施，不符合项问题均按期关闭。
                                                     验证人/日期：</t>
    <phoneticPr fontId="1" type="noConversion"/>
  </si>
  <si>
    <t xml:space="preserve"> 纠正措施已实施，不符合项问题均按期关闭。
                                                     验证人/日期：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</si>
</sst>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7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6"/>
      <color theme="1"/>
      <name val="黑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theme="1"/>
      <name val="黑体"/>
      <family val="3"/>
      <charset val="134"/>
    </font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>
      <alignment vertical="center"/>
    </xf>
  </cellStyleXfs>
  <cellXfs count="151">
    <xf numFmtId="0" fontId="0" fillId="0" borderId="0" xfId="0"/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0" fillId="0" borderId="15" xfId="0" applyBorder="1" applyAlignment="1">
      <alignment horizontal="center" vertical="center"/>
    </xf>
    <xf numFmtId="14" fontId="0" fillId="0" borderId="0" xfId="0" applyNumberFormat="1" applyAlignment="1">
      <alignment vertical="center"/>
    </xf>
    <xf numFmtId="14" fontId="0" fillId="0" borderId="5" xfId="0" applyNumberFormat="1" applyBorder="1" applyAlignment="1">
      <alignment horizontal="left" vertical="center"/>
    </xf>
    <xf numFmtId="0" fontId="4" fillId="0" borderId="12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14" fontId="0" fillId="0" borderId="5" xfId="0" applyNumberFormat="1" applyBorder="1" applyAlignment="1">
      <alignment horizontal="left" vertical="center" wrapText="1"/>
    </xf>
    <xf numFmtId="14" fontId="0" fillId="0" borderId="0" xfId="0" applyNumberFormat="1" applyAlignment="1">
      <alignment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4" fillId="3" borderId="5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vertical="center" wrapText="1"/>
    </xf>
    <xf numFmtId="14" fontId="4" fillId="0" borderId="6" xfId="0" applyNumberFormat="1" applyFont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14" fontId="4" fillId="0" borderId="24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10" fontId="4" fillId="0" borderId="24" xfId="1" applyNumberFormat="1" applyFont="1" applyBorder="1" applyAlignment="1">
      <alignment horizontal="center" vertical="center" wrapText="1"/>
    </xf>
    <xf numFmtId="10" fontId="4" fillId="0" borderId="6" xfId="1" applyNumberFormat="1" applyFont="1" applyBorder="1" applyAlignment="1">
      <alignment horizontal="center" vertical="center" wrapText="1"/>
    </xf>
    <xf numFmtId="10" fontId="4" fillId="0" borderId="5" xfId="0" applyNumberFormat="1" applyFont="1" applyBorder="1" applyAlignment="1">
      <alignment horizontal="center" vertical="center" wrapText="1"/>
    </xf>
    <xf numFmtId="10" fontId="4" fillId="0" borderId="5" xfId="1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4" fillId="4" borderId="7" xfId="0" applyFont="1" applyFill="1" applyBorder="1" applyAlignment="1">
      <alignment horizontal="left" vertical="center" wrapText="1"/>
    </xf>
    <xf numFmtId="0" fontId="4" fillId="4" borderId="24" xfId="0" applyFont="1" applyFill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left" vertical="center" wrapText="1"/>
    </xf>
    <xf numFmtId="0" fontId="4" fillId="2" borderId="29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29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30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14" fontId="4" fillId="0" borderId="7" xfId="0" applyNumberFormat="1" applyFont="1" applyBorder="1" applyAlignment="1">
      <alignment horizontal="center" vertical="center" wrapText="1"/>
    </xf>
    <xf numFmtId="14" fontId="4" fillId="0" borderId="9" xfId="0" applyNumberFormat="1" applyFont="1" applyBorder="1" applyAlignment="1">
      <alignment horizontal="center" vertical="center" wrapText="1"/>
    </xf>
    <xf numFmtId="14" fontId="4" fillId="0" borderId="24" xfId="0" applyNumberFormat="1" applyFont="1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14" fontId="4" fillId="0" borderId="8" xfId="0" applyNumberFormat="1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10" fontId="4" fillId="0" borderId="31" xfId="1" applyNumberFormat="1" applyFont="1" applyBorder="1" applyAlignment="1">
      <alignment horizontal="center" vertical="center" wrapText="1"/>
    </xf>
    <xf numFmtId="10" fontId="4" fillId="0" borderId="26" xfId="1" applyNumberFormat="1" applyFont="1" applyBorder="1" applyAlignment="1">
      <alignment horizontal="center" vertical="center" wrapText="1"/>
    </xf>
    <xf numFmtId="10" fontId="4" fillId="0" borderId="34" xfId="1" applyNumberFormat="1" applyFont="1" applyBorder="1" applyAlignment="1">
      <alignment horizontal="center" vertical="center" wrapText="1"/>
    </xf>
    <xf numFmtId="10" fontId="4" fillId="0" borderId="28" xfId="1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10" fontId="4" fillId="0" borderId="7" xfId="1" applyNumberFormat="1" applyFont="1" applyBorder="1" applyAlignment="1">
      <alignment horizontal="center" vertical="center" wrapText="1"/>
    </xf>
    <xf numFmtId="10" fontId="4" fillId="0" borderId="24" xfId="1" applyNumberFormat="1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176" fontId="4" fillId="0" borderId="7" xfId="1" applyNumberFormat="1" applyFont="1" applyBorder="1" applyAlignment="1">
      <alignment horizontal="center" vertical="center" wrapText="1"/>
    </xf>
    <xf numFmtId="176" fontId="4" fillId="0" borderId="24" xfId="1" applyNumberFormat="1" applyFont="1" applyBorder="1" applyAlignment="1">
      <alignment horizontal="center" vertical="center" wrapText="1"/>
    </xf>
    <xf numFmtId="0" fontId="4" fillId="0" borderId="1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16" xfId="0" applyFont="1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0" fillId="0" borderId="23" xfId="0" applyBorder="1" applyAlignment="1">
      <alignment horizontal="left" vertical="center" wrapText="1"/>
    </xf>
    <xf numFmtId="0" fontId="0" fillId="0" borderId="7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0" fillId="0" borderId="17" xfId="0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14" fontId="4" fillId="0" borderId="7" xfId="0" applyNumberFormat="1" applyFont="1" applyBorder="1" applyAlignment="1">
      <alignment horizontal="center" vertical="center"/>
    </xf>
    <xf numFmtId="14" fontId="4" fillId="0" borderId="24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4" fontId="4" fillId="0" borderId="9" xfId="0" applyNumberFormat="1" applyFont="1" applyBorder="1" applyAlignment="1">
      <alignment horizontal="center" vertical="center"/>
    </xf>
    <xf numFmtId="14" fontId="4" fillId="0" borderId="23" xfId="0" applyNumberFormat="1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 wrapText="1"/>
    </xf>
    <xf numFmtId="0" fontId="0" fillId="0" borderId="7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20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14" fontId="4" fillId="0" borderId="5" xfId="0" applyNumberFormat="1" applyFont="1" applyBorder="1" applyAlignment="1">
      <alignment horizontal="center" vertical="center"/>
    </xf>
    <xf numFmtId="0" fontId="0" fillId="0" borderId="24" xfId="0" applyBorder="1" applyAlignment="1">
      <alignment horizontal="left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04"/>
  <sheetViews>
    <sheetView tabSelected="1" showWhiteSpace="0" view="pageLayout" topLeftCell="A18" zoomScaleNormal="100" workbookViewId="0">
      <selection activeCell="A104" sqref="A104:L104"/>
    </sheetView>
  </sheetViews>
  <sheetFormatPr baseColWidth="10" defaultColWidth="9" defaultRowHeight="19.75" customHeight="1"/>
  <cols>
    <col min="1" max="1" width="9.6640625" style="28" customWidth="1"/>
    <col min="2" max="2" width="9.6640625" style="3" customWidth="1"/>
    <col min="3" max="3" width="9.5" style="3" customWidth="1"/>
    <col min="4" max="4" width="9.33203125" style="3" customWidth="1"/>
    <col min="5" max="5" width="10.33203125" style="3" bestFit="1" customWidth="1"/>
    <col min="6" max="7" width="8.1640625" style="3" customWidth="1"/>
    <col min="8" max="8" width="9.6640625" style="3" customWidth="1"/>
    <col min="9" max="9" width="11.6640625" style="3" customWidth="1"/>
    <col min="10" max="10" width="10.83203125" style="3" customWidth="1"/>
    <col min="11" max="11" width="9.5" style="3" customWidth="1"/>
    <col min="12" max="12" width="12.6640625" style="3" customWidth="1"/>
    <col min="13" max="13" width="12.33203125" style="3" customWidth="1"/>
    <col min="14" max="16384" width="9" style="3"/>
  </cols>
  <sheetData>
    <row r="1" spans="1:14" ht="30" customHeight="1">
      <c r="A1" s="59" t="s">
        <v>1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1:14" ht="19.75" customHeight="1" thickBot="1">
      <c r="A2" s="63" t="s">
        <v>138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</row>
    <row r="3" spans="1:14" s="28" customFormat="1" ht="19.75" customHeight="1">
      <c r="A3" s="27" t="s">
        <v>2</v>
      </c>
      <c r="B3" s="60" t="s">
        <v>240</v>
      </c>
      <c r="C3" s="60"/>
      <c r="D3" s="60"/>
      <c r="E3" s="60"/>
      <c r="F3" s="60"/>
      <c r="G3" s="60"/>
      <c r="H3" s="60"/>
      <c r="I3" s="60"/>
      <c r="J3" s="60"/>
      <c r="K3" s="60"/>
      <c r="L3" s="61"/>
    </row>
    <row r="4" spans="1:14" ht="19.75" customHeight="1">
      <c r="A4" s="25" t="s">
        <v>3</v>
      </c>
      <c r="B4" s="62" t="s">
        <v>67</v>
      </c>
      <c r="C4" s="62"/>
      <c r="D4" s="55" t="s">
        <v>36</v>
      </c>
      <c r="E4" s="55"/>
      <c r="F4" s="62" t="s">
        <v>222</v>
      </c>
      <c r="G4" s="62"/>
      <c r="H4" s="62"/>
      <c r="I4" s="62"/>
      <c r="J4" s="30" t="s">
        <v>4</v>
      </c>
      <c r="K4" s="62" t="s">
        <v>51</v>
      </c>
      <c r="L4" s="65"/>
      <c r="M4" s="64"/>
      <c r="N4" s="64"/>
    </row>
    <row r="5" spans="1:14" ht="19.75" customHeight="1">
      <c r="A5" s="56" t="s">
        <v>44</v>
      </c>
      <c r="B5" s="57"/>
      <c r="C5" s="57"/>
      <c r="D5" s="57"/>
      <c r="E5" s="57"/>
      <c r="F5" s="57"/>
      <c r="G5" s="57"/>
      <c r="H5" s="57"/>
      <c r="I5" s="57"/>
      <c r="J5" s="57"/>
      <c r="K5" s="57"/>
      <c r="L5" s="58"/>
      <c r="M5" s="28"/>
      <c r="N5" s="28"/>
    </row>
    <row r="6" spans="1:14" ht="19.75" customHeight="1">
      <c r="A6" s="43" t="s">
        <v>39</v>
      </c>
      <c r="B6" s="44"/>
      <c r="C6" s="45" t="str">
        <f>'005产品审核报告-测量与分析计划2025.7.15'!F4</f>
        <v>《软件测量与分析计划》</v>
      </c>
      <c r="D6" s="46"/>
      <c r="E6" s="46"/>
      <c r="F6" s="46"/>
      <c r="G6" s="46"/>
      <c r="H6" s="46"/>
      <c r="I6" s="46"/>
      <c r="J6" s="47"/>
      <c r="K6" s="31" t="s">
        <v>35</v>
      </c>
      <c r="L6" s="32">
        <f>'005产品审核报告-测量与分析计划2025.7.15'!H5</f>
        <v>45853</v>
      </c>
    </row>
    <row r="7" spans="1:14" ht="19.75" customHeight="1">
      <c r="A7" s="48" t="s">
        <v>28</v>
      </c>
      <c r="B7" s="49"/>
      <c r="C7" s="49"/>
      <c r="D7" s="49"/>
      <c r="E7" s="49"/>
      <c r="F7" s="49"/>
      <c r="G7" s="49"/>
      <c r="H7" s="49"/>
      <c r="I7" s="50"/>
      <c r="J7" s="33" t="s">
        <v>38</v>
      </c>
      <c r="K7" s="31" t="s">
        <v>25</v>
      </c>
      <c r="L7" s="34" t="s">
        <v>29</v>
      </c>
    </row>
    <row r="8" spans="1:14" ht="19.75" customHeight="1">
      <c r="A8" s="29">
        <f>IF('005产品审核报告-测量与分析计划2025.7.15'!B13="","",'005产品审核报告-测量与分析计划2025.7.15'!B13)</f>
        <v>1</v>
      </c>
      <c r="B8" s="51" t="str">
        <f>IF('005产品审核报告-测量与分析计划2025.7.15'!C13="","",'005产品审核报告-测量与分析计划2025.7.15'!C13)</f>
        <v>表2测量工作相关人员中，测试人员应为吴丹和李德馨</v>
      </c>
      <c r="C8" s="52"/>
      <c r="D8" s="52"/>
      <c r="E8" s="52"/>
      <c r="F8" s="52"/>
      <c r="G8" s="52"/>
      <c r="H8" s="52"/>
      <c r="I8" s="53"/>
      <c r="J8" s="20" t="s">
        <v>37</v>
      </c>
      <c r="K8" s="20" t="str">
        <f>IF('005产品审核报告-测量与分析计划2025.7.15'!F13="","",'005产品审核报告-测量与分析计划2025.7.15'!F13)</f>
        <v>一般</v>
      </c>
      <c r="L8" s="35" t="s">
        <v>30</v>
      </c>
    </row>
    <row r="9" spans="1:14" ht="19.75" customHeight="1">
      <c r="A9" s="29">
        <f>IF('005产品审核报告-测量与分析计划2025.7.15'!B14="","",'005产品审核报告-测量与分析计划2025.7.15'!B14)</f>
        <v>2</v>
      </c>
      <c r="B9" s="51" t="str">
        <f>IF('005产品审核报告-测量与分析计划2025.7.15'!C14="","",'005产品审核报告-测量与分析计划2025.7.15'!C14)</f>
        <v>表8中部分阶段的测量时机和开发计划中的进度安排不一</v>
      </c>
      <c r="C9" s="52"/>
      <c r="D9" s="52"/>
      <c r="E9" s="52"/>
      <c r="F9" s="52"/>
      <c r="G9" s="52"/>
      <c r="H9" s="52"/>
      <c r="I9" s="53"/>
      <c r="J9" s="20" t="s">
        <v>37</v>
      </c>
      <c r="K9" s="20" t="str">
        <f>IF('005产品审核报告-测量与分析计划2025.7.15'!F14="","",'005产品审核报告-测量与分析计划2025.7.15'!F14)</f>
        <v>一般</v>
      </c>
      <c r="L9" s="35" t="s">
        <v>30</v>
      </c>
    </row>
    <row r="10" spans="1:14" ht="19.75" customHeight="1">
      <c r="A10" s="43" t="s">
        <v>39</v>
      </c>
      <c r="B10" s="44"/>
      <c r="C10" s="45" t="str">
        <f>'006产品审核报告-质量保证计划2025.7.15'!F4</f>
        <v>《软件质量保证计划》</v>
      </c>
      <c r="D10" s="46"/>
      <c r="E10" s="46"/>
      <c r="F10" s="46"/>
      <c r="G10" s="46"/>
      <c r="H10" s="46"/>
      <c r="I10" s="46"/>
      <c r="J10" s="47"/>
      <c r="K10" s="31" t="s">
        <v>35</v>
      </c>
      <c r="L10" s="32">
        <f>'006产品审核报告-质量保证计划2025.7.15'!H5</f>
        <v>45853</v>
      </c>
    </row>
    <row r="11" spans="1:14" ht="19.75" customHeight="1">
      <c r="A11" s="48" t="s">
        <v>28</v>
      </c>
      <c r="B11" s="49"/>
      <c r="C11" s="49"/>
      <c r="D11" s="49"/>
      <c r="E11" s="49"/>
      <c r="F11" s="49"/>
      <c r="G11" s="49"/>
      <c r="H11" s="49"/>
      <c r="I11" s="50"/>
      <c r="J11" s="33" t="s">
        <v>38</v>
      </c>
      <c r="K11" s="31" t="s">
        <v>21</v>
      </c>
      <c r="L11" s="34" t="s">
        <v>29</v>
      </c>
    </row>
    <row r="12" spans="1:14" ht="24" customHeight="1">
      <c r="A12" s="29">
        <f>IF('006产品审核报告-质量保证计划2025.7.15'!B13="","",'006产品审核报告-质量保证计划2025.7.15'!B13)</f>
        <v>1</v>
      </c>
      <c r="B12" s="51" t="str">
        <f>IF('006产品审核报告-质量保证计划2025.7.15'!C13="","",'006产品审核报告-质量保证计划2025.7.15'!C13)</f>
        <v>表5阶段划分，缺少出厂检验和验收交付阶段</v>
      </c>
      <c r="C12" s="52"/>
      <c r="D12" s="52"/>
      <c r="E12" s="52"/>
      <c r="F12" s="52"/>
      <c r="G12" s="52"/>
      <c r="H12" s="52"/>
      <c r="I12" s="53"/>
      <c r="J12" s="20" t="s">
        <v>37</v>
      </c>
      <c r="K12" s="20" t="str">
        <f>IF('006产品审核报告-质量保证计划2025.7.15'!K13,"",'006产品审核报告-质量保证计划2025.7.15'!F13)</f>
        <v>严重</v>
      </c>
      <c r="L12" s="35" t="s">
        <v>30</v>
      </c>
    </row>
    <row r="13" spans="1:14" ht="30" customHeight="1">
      <c r="A13" s="29">
        <f>IF('006产品审核报告-质量保证计划2025.7.15'!B14="","",'006产品审核报告-质量保证计划2025.7.15'!B14)</f>
        <v>2</v>
      </c>
      <c r="B13" s="51" t="str">
        <f>IF('006产品审核报告-质量保证计划2025.7.15'!C14="","",'006产品审核报告-质量保证计划2025.7.15'!C14)</f>
        <v>6.4节，产品审核对象中有配置项测试计划、合格性测试说明、合格性测试报告，与上下文不一致，另外缺少技术说明书、软件使用说明书等。</v>
      </c>
      <c r="C13" s="52"/>
      <c r="D13" s="52"/>
      <c r="E13" s="52"/>
      <c r="F13" s="52"/>
      <c r="G13" s="52"/>
      <c r="H13" s="52"/>
      <c r="I13" s="53"/>
      <c r="J13" s="20" t="s">
        <v>37</v>
      </c>
      <c r="K13" s="20" t="str">
        <f>IF('006产品审核报告-质量保证计划2025.7.15'!K14,"",'006产品审核报告-质量保证计划2025.7.15'!F14)</f>
        <v>一般</v>
      </c>
      <c r="L13" s="35" t="s">
        <v>30</v>
      </c>
    </row>
    <row r="14" spans="1:14" ht="19.5" customHeight="1">
      <c r="A14" s="43" t="s">
        <v>39</v>
      </c>
      <c r="B14" s="44"/>
      <c r="C14" s="45" t="str">
        <f>'007产品审核报告-配置管理计划2025.7.15'!F4</f>
        <v>《配置管理计划》</v>
      </c>
      <c r="D14" s="46"/>
      <c r="E14" s="46"/>
      <c r="F14" s="46"/>
      <c r="G14" s="46"/>
      <c r="H14" s="46"/>
      <c r="I14" s="46"/>
      <c r="J14" s="47"/>
      <c r="K14" s="31" t="s">
        <v>35</v>
      </c>
      <c r="L14" s="32">
        <f>'007产品审核报告-配置管理计划2025.7.15'!H5</f>
        <v>45853</v>
      </c>
    </row>
    <row r="15" spans="1:14" ht="19.75" customHeight="1">
      <c r="A15" s="48" t="s">
        <v>28</v>
      </c>
      <c r="B15" s="49"/>
      <c r="C15" s="49"/>
      <c r="D15" s="49"/>
      <c r="E15" s="49"/>
      <c r="F15" s="49"/>
      <c r="G15" s="49"/>
      <c r="H15" s="49"/>
      <c r="I15" s="50"/>
      <c r="J15" s="33" t="s">
        <v>38</v>
      </c>
      <c r="K15" s="31" t="s">
        <v>21</v>
      </c>
      <c r="L15" s="34" t="s">
        <v>29</v>
      </c>
    </row>
    <row r="16" spans="1:14" ht="26.5" customHeight="1">
      <c r="A16" s="29">
        <f>IF('007产品审核报告-配置管理计划2025.7.15'!B13="","",'007产品审核报告-配置管理计划2025.7.15'!B13)</f>
        <v>1</v>
      </c>
      <c r="B16" s="51" t="str">
        <f>IF('007产品审核报告-配置管理计划2025.7.15'!C13="","",'007产品审核报告-配置管理计划2025.7.15'!C13)</f>
        <v>4.1节中，通过配置项测试后的源代码版本应是V0.1.0</v>
      </c>
      <c r="C16" s="52"/>
      <c r="D16" s="52"/>
      <c r="E16" s="52"/>
      <c r="F16" s="52"/>
      <c r="G16" s="52"/>
      <c r="H16" s="52"/>
      <c r="I16" s="53"/>
      <c r="J16" s="20" t="s">
        <v>37</v>
      </c>
      <c r="K16" s="20" t="str">
        <f>IF('007产品审核报告-配置管理计划2025.7.15'!F13="","",'007产品审核报告-配置管理计划2025.7.15'!F13)</f>
        <v>一般</v>
      </c>
      <c r="L16" s="35" t="s">
        <v>30</v>
      </c>
    </row>
    <row r="17" spans="1:12" ht="25.25" customHeight="1">
      <c r="A17" s="29">
        <f>IF('007产品审核报告-配置管理计划2025.7.15'!B14="","",'007产品审核报告-配置管理计划2025.7.15'!B14)</f>
        <v>2</v>
      </c>
      <c r="B17" s="51" t="str">
        <f>IF('007产品审核报告-配置管理计划2025.7.15'!C14="","",'007产品审核报告-配置管理计划2025.7.15'!C14)</f>
        <v>表3配置项清单中遗漏了技术说明书和培训教材</v>
      </c>
      <c r="C17" s="52"/>
      <c r="D17" s="52"/>
      <c r="E17" s="52"/>
      <c r="F17" s="52"/>
      <c r="G17" s="52"/>
      <c r="H17" s="52"/>
      <c r="I17" s="53"/>
      <c r="J17" s="20" t="s">
        <v>37</v>
      </c>
      <c r="K17" s="20" t="str">
        <f>IF('007产品审核报告-配置管理计划2025.7.15'!F14="","",'007产品审核报告-配置管理计划2025.7.15'!F14)</f>
        <v>一般</v>
      </c>
      <c r="L17" s="35" t="s">
        <v>30</v>
      </c>
    </row>
    <row r="18" spans="1:12" ht="19.75" customHeight="1">
      <c r="A18" s="43" t="s">
        <v>39</v>
      </c>
      <c r="B18" s="44"/>
      <c r="C18" s="45" t="str">
        <f>'008产品审核报告-软件开发计划2025.7.15'!F4</f>
        <v>《软件开发计划》</v>
      </c>
      <c r="D18" s="46"/>
      <c r="E18" s="46"/>
      <c r="F18" s="46"/>
      <c r="G18" s="46"/>
      <c r="H18" s="46"/>
      <c r="I18" s="46"/>
      <c r="J18" s="47"/>
      <c r="K18" s="31" t="s">
        <v>35</v>
      </c>
      <c r="L18" s="32">
        <f>'008产品审核报告-软件开发计划2025.7.15'!H5</f>
        <v>45853</v>
      </c>
    </row>
    <row r="19" spans="1:12" ht="19.75" customHeight="1">
      <c r="A19" s="48" t="s">
        <v>28</v>
      </c>
      <c r="B19" s="49"/>
      <c r="C19" s="49"/>
      <c r="D19" s="49"/>
      <c r="E19" s="49"/>
      <c r="F19" s="49"/>
      <c r="G19" s="49"/>
      <c r="H19" s="49"/>
      <c r="I19" s="50"/>
      <c r="J19" s="33" t="s">
        <v>38</v>
      </c>
      <c r="K19" s="31" t="s">
        <v>21</v>
      </c>
      <c r="L19" s="34" t="s">
        <v>29</v>
      </c>
    </row>
    <row r="20" spans="1:12" ht="19.75" customHeight="1">
      <c r="A20" s="29">
        <f>IF('008产品审核报告-软件开发计划2025.7.15'!B13="","",'008产品审核报告-软件开发计划2025.7.15'!B13)</f>
        <v>1</v>
      </c>
      <c r="B20" s="51" t="str">
        <f>IF('008产品审核报告-软件开发计划2025.7.15'!C13="","",'008产品审核报告-软件开发计划2025.7.15'!C13)</f>
        <v>表3-1项目文档要求与软件研制任务书不一致，缺少培训教材</v>
      </c>
      <c r="C20" s="52"/>
      <c r="D20" s="52"/>
      <c r="E20" s="52"/>
      <c r="F20" s="52"/>
      <c r="G20" s="52"/>
      <c r="H20" s="52"/>
      <c r="I20" s="53"/>
      <c r="J20" s="20" t="s">
        <v>37</v>
      </c>
      <c r="K20" s="20" t="str">
        <f>IF('008产品审核报告-软件开发计划2025.7.15'!F13="","",'008产品审核报告-软件开发计划2025.7.15'!F13)</f>
        <v>一般</v>
      </c>
      <c r="L20" s="35" t="s">
        <v>30</v>
      </c>
    </row>
    <row r="21" spans="1:12" ht="19.75" customHeight="1">
      <c r="A21" s="29">
        <f>IF('008产品审核报告-软件开发计划2025.7.15'!B14="","",'008产品审核报告-软件开发计划2025.7.15'!B14)</f>
        <v>2</v>
      </c>
      <c r="B21" s="51" t="str">
        <f>IF('008产品审核报告-软件开发计划2025.7.15'!C14="","",'008产品审核报告-软件开发计划2025.7.15'!C14)</f>
        <v>5.2.6出厂所检验的工作内容与本项目合同要求的不一致。</v>
      </c>
      <c r="C21" s="52"/>
      <c r="D21" s="52"/>
      <c r="E21" s="52"/>
      <c r="F21" s="52"/>
      <c r="G21" s="52"/>
      <c r="H21" s="52"/>
      <c r="I21" s="53"/>
      <c r="J21" s="20" t="s">
        <v>37</v>
      </c>
      <c r="K21" s="20" t="str">
        <f>IF('008产品审核报告-软件开发计划2025.7.15'!F14="","",'008产品审核报告-软件开发计划2025.7.15'!F14)</f>
        <v>一般</v>
      </c>
      <c r="L21" s="35" t="s">
        <v>30</v>
      </c>
    </row>
    <row r="22" spans="1:12" ht="59.5" customHeight="1">
      <c r="A22" s="54" t="s">
        <v>84</v>
      </c>
      <c r="B22" s="55"/>
      <c r="C22" s="51" t="s">
        <v>96</v>
      </c>
      <c r="D22" s="52"/>
      <c r="E22" s="52"/>
      <c r="F22" s="52"/>
      <c r="G22" s="52"/>
      <c r="H22" s="52"/>
      <c r="I22" s="52"/>
      <c r="J22" s="52"/>
      <c r="K22" s="52"/>
      <c r="L22" s="72"/>
    </row>
    <row r="23" spans="1:12" ht="19.75" customHeight="1">
      <c r="A23" s="54" t="s">
        <v>46</v>
      </c>
      <c r="B23" s="55"/>
      <c r="C23" s="69">
        <v>45847</v>
      </c>
      <c r="D23" s="70"/>
      <c r="E23" s="70"/>
      <c r="F23" s="71"/>
      <c r="G23" s="55" t="s">
        <v>34</v>
      </c>
      <c r="H23" s="55"/>
      <c r="I23" s="69">
        <v>45861</v>
      </c>
      <c r="J23" s="70"/>
      <c r="K23" s="71"/>
      <c r="L23" s="35"/>
    </row>
    <row r="24" spans="1:12" ht="19.75" customHeight="1">
      <c r="A24" s="56" t="s">
        <v>97</v>
      </c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8"/>
    </row>
    <row r="25" spans="1:12" ht="19.75" customHeight="1">
      <c r="A25" s="69" t="s">
        <v>98</v>
      </c>
      <c r="B25" s="70"/>
      <c r="C25" s="69" t="s">
        <v>99</v>
      </c>
      <c r="D25" s="70"/>
      <c r="E25" s="70"/>
      <c r="F25" s="71"/>
      <c r="G25" s="69" t="s">
        <v>100</v>
      </c>
      <c r="H25" s="70"/>
      <c r="I25" s="70"/>
      <c r="J25" s="70"/>
      <c r="K25" s="70"/>
      <c r="L25" s="73"/>
    </row>
    <row r="26" spans="1:12" ht="19.75" customHeight="1">
      <c r="A26" s="86">
        <f>COUNTIF(J8:J21,"工作产品")</f>
        <v>8</v>
      </c>
      <c r="B26" s="87"/>
      <c r="C26" s="69" t="s">
        <v>101</v>
      </c>
      <c r="D26" s="71"/>
      <c r="E26" s="69" t="s">
        <v>102</v>
      </c>
      <c r="F26" s="71"/>
      <c r="G26" s="69"/>
      <c r="H26" s="71"/>
      <c r="I26" s="69" t="s">
        <v>56</v>
      </c>
      <c r="J26" s="71"/>
      <c r="K26" s="36" t="s">
        <v>52</v>
      </c>
      <c r="L26" s="32" t="s">
        <v>26</v>
      </c>
    </row>
    <row r="27" spans="1:12" ht="19.75" customHeight="1">
      <c r="A27" s="64"/>
      <c r="B27" s="88"/>
      <c r="C27" s="74">
        <f>COUNTIFS(J8:J21,"工作产品",L8:L21,"=否")</f>
        <v>0</v>
      </c>
      <c r="D27" s="75"/>
      <c r="E27" s="78">
        <f>(A26-C27)/A26</f>
        <v>1</v>
      </c>
      <c r="F27" s="79"/>
      <c r="G27" s="69" t="s">
        <v>103</v>
      </c>
      <c r="H27" s="71"/>
      <c r="I27" s="82">
        <f>COUNTIFS(J8:J21,"工作产品",K8:K21,"=轻微")</f>
        <v>0</v>
      </c>
      <c r="J27" s="83"/>
      <c r="K27" s="26">
        <f>COUNTIFS(J8:J21,"工作产品",K8:K21,"=一般")</f>
        <v>7</v>
      </c>
      <c r="L27" s="37">
        <f>COUNTIFS(J8:J21,"工作产品",K8:K21,"=严重")</f>
        <v>1</v>
      </c>
    </row>
    <row r="28" spans="1:12" ht="19.75" customHeight="1">
      <c r="A28" s="89"/>
      <c r="B28" s="90"/>
      <c r="C28" s="76"/>
      <c r="D28" s="77"/>
      <c r="E28" s="80"/>
      <c r="F28" s="81"/>
      <c r="G28" s="69" t="s">
        <v>33</v>
      </c>
      <c r="H28" s="71"/>
      <c r="I28" s="84">
        <f>I27/A26</f>
        <v>0</v>
      </c>
      <c r="J28" s="85"/>
      <c r="K28" s="38">
        <f>K27/A26</f>
        <v>0.875</v>
      </c>
      <c r="L28" s="39">
        <f>L27/A26</f>
        <v>0.125</v>
      </c>
    </row>
    <row r="29" spans="1:12" ht="19.75" customHeight="1">
      <c r="A29" s="56" t="s">
        <v>230</v>
      </c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8"/>
    </row>
    <row r="30" spans="1:12" ht="19.75" customHeight="1">
      <c r="A30" s="69" t="s">
        <v>105</v>
      </c>
      <c r="B30" s="70"/>
      <c r="C30" s="69" t="s">
        <v>99</v>
      </c>
      <c r="D30" s="70"/>
      <c r="E30" s="70"/>
      <c r="F30" s="71"/>
      <c r="G30" s="69" t="s">
        <v>100</v>
      </c>
      <c r="H30" s="70"/>
      <c r="I30" s="70"/>
      <c r="J30" s="70"/>
      <c r="K30" s="70"/>
      <c r="L30" s="73"/>
    </row>
    <row r="31" spans="1:12" ht="19.75" customHeight="1">
      <c r="A31" s="86">
        <f>SUM(COUNTIF(J8:J21,{"RDM","PP","PMC","CM","MT","MPM","VV","II"}))</f>
        <v>0</v>
      </c>
      <c r="B31" s="87"/>
      <c r="C31" s="69" t="s">
        <v>106</v>
      </c>
      <c r="D31" s="71"/>
      <c r="E31" s="69" t="s">
        <v>107</v>
      </c>
      <c r="F31" s="71"/>
      <c r="G31" s="69"/>
      <c r="H31" s="71"/>
      <c r="I31" s="69" t="s">
        <v>56</v>
      </c>
      <c r="J31" s="71"/>
      <c r="K31" s="36" t="s">
        <v>52</v>
      </c>
      <c r="L31" s="32" t="s">
        <v>26</v>
      </c>
    </row>
    <row r="32" spans="1:12" ht="18" customHeight="1">
      <c r="A32" s="64"/>
      <c r="B32" s="88"/>
      <c r="C32" s="91" t="s">
        <v>223</v>
      </c>
      <c r="D32" s="75"/>
      <c r="E32" s="91" t="s">
        <v>223</v>
      </c>
      <c r="F32" s="75"/>
      <c r="G32" s="69" t="s">
        <v>103</v>
      </c>
      <c r="H32" s="71"/>
      <c r="I32" s="82">
        <f>SUM(COUNTIFS(J8:J21,{"RDM","PP","PMC","CM","MT","MPM","VV","II"},K8:K21,"=轻微"))</f>
        <v>0</v>
      </c>
      <c r="J32" s="83"/>
      <c r="K32" s="26">
        <f>SUM(COUNTIFS(J8:J21,{"RDM","PP","PMC","CM","MT","MPM","VV","II"},K8:K21,"=一般"))</f>
        <v>0</v>
      </c>
      <c r="L32" s="37">
        <f>SUM(COUNTIFS(J8:J21,{"RDM","PP","PMC","CM","MT","MPM","VV","II"},K8:K21,"=严重"))</f>
        <v>0</v>
      </c>
    </row>
    <row r="33" spans="1:12" ht="20" customHeight="1">
      <c r="A33" s="89"/>
      <c r="B33" s="90"/>
      <c r="C33" s="76"/>
      <c r="D33" s="77"/>
      <c r="E33" s="76"/>
      <c r="F33" s="77"/>
      <c r="G33" s="69" t="s">
        <v>33</v>
      </c>
      <c r="H33" s="71"/>
      <c r="I33" s="92" t="s">
        <v>223</v>
      </c>
      <c r="J33" s="93"/>
      <c r="K33" s="38" t="s">
        <v>223</v>
      </c>
      <c r="L33" s="39" t="s">
        <v>223</v>
      </c>
    </row>
    <row r="34" spans="1:12" ht="19.75" customHeight="1">
      <c r="A34" s="56" t="s">
        <v>108</v>
      </c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8"/>
    </row>
    <row r="35" spans="1:12" ht="19.75" customHeight="1">
      <c r="A35" s="54" t="s">
        <v>109</v>
      </c>
      <c r="B35" s="55"/>
      <c r="C35" s="23" t="s">
        <v>59</v>
      </c>
      <c r="D35" s="23" t="s">
        <v>110</v>
      </c>
      <c r="E35" s="23" t="s">
        <v>31</v>
      </c>
      <c r="F35" s="23" t="s">
        <v>32</v>
      </c>
      <c r="G35" s="23" t="s">
        <v>60</v>
      </c>
      <c r="H35" s="23" t="s">
        <v>61</v>
      </c>
      <c r="I35" s="23" t="s">
        <v>62</v>
      </c>
      <c r="J35" s="23" t="s">
        <v>111</v>
      </c>
      <c r="K35" s="23" t="s">
        <v>37</v>
      </c>
      <c r="L35" s="24" t="s">
        <v>112</v>
      </c>
    </row>
    <row r="36" spans="1:12" ht="19.75" customHeight="1">
      <c r="A36" s="54" t="s">
        <v>103</v>
      </c>
      <c r="B36" s="55"/>
      <c r="C36" s="16">
        <f>COUNTIF(J9:J22,"=RDM")</f>
        <v>0</v>
      </c>
      <c r="D36" s="16">
        <f>COUNTIF(J9:J22,"=PP")</f>
        <v>0</v>
      </c>
      <c r="E36" s="16">
        <f>COUNTIF(J9:J22,"=PMC")</f>
        <v>0</v>
      </c>
      <c r="F36" s="16">
        <f>COUNTIF(J9:J22,"=CM")</f>
        <v>0</v>
      </c>
      <c r="G36" s="16">
        <f>COUNTIF(J9:J22,"=MT")</f>
        <v>0</v>
      </c>
      <c r="H36" s="16">
        <f>COUNTIF(J9:J22,"=MPM")</f>
        <v>0</v>
      </c>
      <c r="I36" s="16">
        <f>COUNTIF(J9:J22,"=VV")</f>
        <v>0</v>
      </c>
      <c r="J36" s="16">
        <f>COUNTIF(J9:J22,"=II")</f>
        <v>0</v>
      </c>
      <c r="K36" s="16">
        <f>COUNTIF(J8:J22,"=工作产品")</f>
        <v>8</v>
      </c>
      <c r="L36" s="37">
        <f>SUM(C36:K36)</f>
        <v>8</v>
      </c>
    </row>
    <row r="37" spans="1:12" ht="35.25" customHeight="1">
      <c r="A37" s="54" t="s">
        <v>33</v>
      </c>
      <c r="B37" s="55"/>
      <c r="C37" s="40">
        <f>C36/L36</f>
        <v>0</v>
      </c>
      <c r="D37" s="40">
        <f>D36/L36</f>
        <v>0</v>
      </c>
      <c r="E37" s="40">
        <f>E36/L36</f>
        <v>0</v>
      </c>
      <c r="F37" s="40">
        <f>F36/L36</f>
        <v>0</v>
      </c>
      <c r="G37" s="40">
        <f>G36/L36</f>
        <v>0</v>
      </c>
      <c r="H37" s="40">
        <f>H36/L36</f>
        <v>0</v>
      </c>
      <c r="I37" s="40">
        <f>I36/L36</f>
        <v>0</v>
      </c>
      <c r="J37" s="40">
        <f>J36/L36</f>
        <v>0</v>
      </c>
      <c r="K37" s="41">
        <f>K36/L36</f>
        <v>1</v>
      </c>
      <c r="L37" s="42" t="s">
        <v>113</v>
      </c>
    </row>
    <row r="38" spans="1:12" ht="19.75" customHeight="1">
      <c r="A38" s="56" t="s">
        <v>41</v>
      </c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8"/>
    </row>
    <row r="39" spans="1:12" ht="54" customHeight="1" thickBot="1">
      <c r="A39" s="66" t="s">
        <v>224</v>
      </c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8"/>
    </row>
    <row r="40" spans="1:12" ht="24.5" customHeight="1">
      <c r="A40" s="43" t="s">
        <v>39</v>
      </c>
      <c r="B40" s="44"/>
      <c r="C40" s="45" t="str">
        <f>'012配置管理审核报告-2025.7.31 (月)'!F4</f>
        <v>配置管理</v>
      </c>
      <c r="D40" s="46"/>
      <c r="E40" s="46"/>
      <c r="F40" s="46"/>
      <c r="G40" s="46"/>
      <c r="H40" s="46"/>
      <c r="I40" s="46"/>
      <c r="J40" s="47"/>
      <c r="K40" s="31" t="s">
        <v>35</v>
      </c>
      <c r="L40" s="32">
        <f>'012配置管理审核报告-2025.7.31 (月)'!H5</f>
        <v>45869</v>
      </c>
    </row>
    <row r="41" spans="1:12" ht="19.75" customHeight="1">
      <c r="A41" s="48" t="s">
        <v>28</v>
      </c>
      <c r="B41" s="49"/>
      <c r="C41" s="49"/>
      <c r="D41" s="49"/>
      <c r="E41" s="49"/>
      <c r="F41" s="49"/>
      <c r="G41" s="49"/>
      <c r="H41" s="49"/>
      <c r="I41" s="50"/>
      <c r="J41" s="33" t="s">
        <v>38</v>
      </c>
      <c r="K41" s="31" t="s">
        <v>21</v>
      </c>
      <c r="L41" s="34" t="s">
        <v>29</v>
      </c>
    </row>
    <row r="42" spans="1:12" ht="19.75" customHeight="1">
      <c r="A42" s="29">
        <f>IF('012配置管理审核报告-2025.7.31 (月)'!B13="","",'012配置管理审核报告-2025.7.31 (月)'!B13)</f>
        <v>1</v>
      </c>
      <c r="B42" s="51" t="str">
        <f>IF('012配置管理审核报告-2025.7.31 (月)'!C13="","",'012配置管理审核报告-2025.7.31 (月)'!C13)</f>
        <v>入库单002中，质量保证计划的标识填写错误。</v>
      </c>
      <c r="C42" s="52"/>
      <c r="D42" s="52"/>
      <c r="E42" s="52"/>
      <c r="F42" s="52"/>
      <c r="G42" s="52"/>
      <c r="H42" s="52"/>
      <c r="I42" s="53"/>
      <c r="J42" s="20" t="s">
        <v>48</v>
      </c>
      <c r="K42" s="20" t="str">
        <f>IF('012配置管理审核报告-2025.7.31 (月)'!F13="","",'012配置管理审核报告-2025.7.31 (月)'!F13)</f>
        <v>轻微</v>
      </c>
      <c r="L42" s="35" t="s">
        <v>30</v>
      </c>
    </row>
    <row r="43" spans="1:12" ht="19.75" customHeight="1">
      <c r="A43" s="29">
        <f>IF('012配置管理审核报告-2025.7.31 (月)'!B14="","",'012配置管理审核报告-2025.7.31 (月)'!B14)</f>
        <v>2</v>
      </c>
      <c r="B43" s="51" t="str">
        <f>IF('012配置管理审核报告-2025.7.31 (月)'!C14="","",'012配置管理审核报告-2025.7.31 (月)'!C14)</f>
        <v>配置管理清单002中，质量保证计划的标识错误。</v>
      </c>
      <c r="C43" s="52"/>
      <c r="D43" s="52"/>
      <c r="E43" s="52"/>
      <c r="F43" s="52"/>
      <c r="G43" s="52"/>
      <c r="H43" s="52"/>
      <c r="I43" s="53"/>
      <c r="J43" s="20" t="s">
        <v>48</v>
      </c>
      <c r="K43" s="20" t="str">
        <f>IF('012配置管理审核报告-2025.7.31 (月)'!F14="","",'012配置管理审核报告-2025.7.31 (月)'!F14)</f>
        <v>轻微</v>
      </c>
      <c r="L43" s="35" t="s">
        <v>30</v>
      </c>
    </row>
    <row r="44" spans="1:12" ht="19.75" customHeight="1">
      <c r="A44" s="43" t="s">
        <v>39</v>
      </c>
      <c r="B44" s="44"/>
      <c r="C44" s="45" t="str">
        <f>'013项目监控审核报告-2025.8.6（双周2）'!F4</f>
        <v>项目监控</v>
      </c>
      <c r="D44" s="46"/>
      <c r="E44" s="46"/>
      <c r="F44" s="46"/>
      <c r="G44" s="46"/>
      <c r="H44" s="46"/>
      <c r="I44" s="46"/>
      <c r="J44" s="47"/>
      <c r="K44" s="31" t="s">
        <v>35</v>
      </c>
      <c r="L44" s="32">
        <f>'013项目监控审核报告-2025.8.6（双周2）'!H5</f>
        <v>45875</v>
      </c>
    </row>
    <row r="45" spans="1:12" ht="19.75" customHeight="1">
      <c r="A45" s="48" t="s">
        <v>28</v>
      </c>
      <c r="B45" s="49"/>
      <c r="C45" s="49"/>
      <c r="D45" s="49"/>
      <c r="E45" s="49"/>
      <c r="F45" s="49"/>
      <c r="G45" s="49"/>
      <c r="H45" s="49"/>
      <c r="I45" s="50"/>
      <c r="J45" s="33" t="s">
        <v>38</v>
      </c>
      <c r="K45" s="31" t="s">
        <v>21</v>
      </c>
      <c r="L45" s="34" t="s">
        <v>29</v>
      </c>
    </row>
    <row r="46" spans="1:12" ht="19.75" customHeight="1">
      <c r="A46" s="29">
        <f>IF('013项目监控审核报告-2025.8.6（双周2）'!B13="","",'013项目监控审核报告-2025.8.6（双周2）'!B13)</f>
        <v>1</v>
      </c>
      <c r="B46" s="51" t="str">
        <f>IF('013项目监控审核报告-2025.8.6（双周2）'!C13="","",'013项目监控审核报告-2025.8.6（双周2）'!C13)</f>
        <v>本节点未对利益相关方参与计划进行跟踪</v>
      </c>
      <c r="C46" s="52"/>
      <c r="D46" s="52"/>
      <c r="E46" s="52"/>
      <c r="F46" s="52"/>
      <c r="G46" s="52"/>
      <c r="H46" s="52"/>
      <c r="I46" s="53"/>
      <c r="J46" s="20" t="s">
        <v>85</v>
      </c>
      <c r="K46" s="20" t="str">
        <f>IF('013项目监控审核报告-2025.8.6（双周2）'!K13,"",'013项目监控审核报告-2025.8.6（双周2）'!F13)</f>
        <v>一般</v>
      </c>
      <c r="L46" s="35" t="s">
        <v>30</v>
      </c>
    </row>
    <row r="47" spans="1:12" ht="19.75" customHeight="1">
      <c r="A47" s="29">
        <f>IF('013项目监控审核报告-2025.8.6（双周2）'!B14="","",'013项目监控审核报告-2025.8.6（双周2）'!B14)</f>
        <v>2</v>
      </c>
      <c r="B47" s="51" t="str">
        <f>IF('013项目监控审核报告-2025.8.6（双周2）'!C14="","",'013项目监控审核报告-2025.8.6（双周2）'!C14)</f>
        <v>孙迎斌未提交周报</v>
      </c>
      <c r="C47" s="52"/>
      <c r="D47" s="52"/>
      <c r="E47" s="52"/>
      <c r="F47" s="52"/>
      <c r="G47" s="52"/>
      <c r="H47" s="52"/>
      <c r="I47" s="53"/>
      <c r="J47" s="20" t="s">
        <v>85</v>
      </c>
      <c r="K47" s="20" t="str">
        <f>IF('013项目监控审核报告-2025.8.6（双周2）'!K14,"",'013项目监控审核报告-2025.8.6（双周2）'!F14)</f>
        <v>一般</v>
      </c>
      <c r="L47" s="35" t="s">
        <v>30</v>
      </c>
    </row>
    <row r="48" spans="1:12" ht="27" customHeight="1">
      <c r="A48" s="54" t="s">
        <v>84</v>
      </c>
      <c r="B48" s="55"/>
      <c r="C48" s="51" t="s">
        <v>229</v>
      </c>
      <c r="D48" s="52"/>
      <c r="E48" s="52"/>
      <c r="F48" s="52"/>
      <c r="G48" s="52"/>
      <c r="H48" s="52"/>
      <c r="I48" s="52"/>
      <c r="J48" s="52"/>
      <c r="K48" s="52"/>
      <c r="L48" s="72"/>
    </row>
    <row r="49" spans="1:12" ht="19.75" customHeight="1">
      <c r="A49" s="54" t="s">
        <v>46</v>
      </c>
      <c r="B49" s="55"/>
      <c r="C49" s="69">
        <v>45862</v>
      </c>
      <c r="D49" s="70"/>
      <c r="E49" s="70"/>
      <c r="F49" s="71"/>
      <c r="G49" s="55" t="s">
        <v>34</v>
      </c>
      <c r="H49" s="55"/>
      <c r="I49" s="69">
        <v>45875</v>
      </c>
      <c r="J49" s="70"/>
      <c r="K49" s="71"/>
      <c r="L49" s="35"/>
    </row>
    <row r="50" spans="1:12" ht="19.75" customHeight="1">
      <c r="A50" s="56" t="s">
        <v>97</v>
      </c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8"/>
    </row>
    <row r="51" spans="1:12" ht="21" customHeight="1">
      <c r="A51" s="69" t="s">
        <v>98</v>
      </c>
      <c r="B51" s="70"/>
      <c r="C51" s="69" t="s">
        <v>99</v>
      </c>
      <c r="D51" s="70"/>
      <c r="E51" s="70"/>
      <c r="F51" s="71"/>
      <c r="G51" s="69" t="s">
        <v>100</v>
      </c>
      <c r="H51" s="70"/>
      <c r="I51" s="70"/>
      <c r="J51" s="70"/>
      <c r="K51" s="70"/>
      <c r="L51" s="73"/>
    </row>
    <row r="52" spans="1:12" ht="19.75" customHeight="1">
      <c r="A52" s="86">
        <f>COUNTIF(J42:J47,"工作产品")</f>
        <v>0</v>
      </c>
      <c r="B52" s="87"/>
      <c r="C52" s="69" t="s">
        <v>101</v>
      </c>
      <c r="D52" s="71"/>
      <c r="E52" s="69" t="s">
        <v>102</v>
      </c>
      <c r="F52" s="71"/>
      <c r="G52" s="69"/>
      <c r="H52" s="71"/>
      <c r="I52" s="69" t="s">
        <v>56</v>
      </c>
      <c r="J52" s="71"/>
      <c r="K52" s="36" t="s">
        <v>52</v>
      </c>
      <c r="L52" s="32" t="s">
        <v>26</v>
      </c>
    </row>
    <row r="53" spans="1:12" ht="19.75" customHeight="1">
      <c r="A53" s="64"/>
      <c r="B53" s="88"/>
      <c r="C53" s="74">
        <f>COUNTIFS(J42:J47,"工作产品",L42:L47,"=否")</f>
        <v>0</v>
      </c>
      <c r="D53" s="75"/>
      <c r="E53" s="78" t="s">
        <v>223</v>
      </c>
      <c r="F53" s="79"/>
      <c r="G53" s="69" t="s">
        <v>103</v>
      </c>
      <c r="H53" s="71"/>
      <c r="I53" s="82">
        <f>COUNTIFS(J42:J47,"工作产品",K42:K47,"=轻微")</f>
        <v>0</v>
      </c>
      <c r="J53" s="83"/>
      <c r="K53" s="26">
        <f>COUNTIFS(J42:J47,"工作产品",K42:K47,"=一般")</f>
        <v>0</v>
      </c>
      <c r="L53" s="37">
        <f>COUNTIFS(J42:J47,"工作产品",K42:K47,"=严重")</f>
        <v>0</v>
      </c>
    </row>
    <row r="54" spans="1:12" ht="19.75" customHeight="1">
      <c r="A54" s="89"/>
      <c r="B54" s="90"/>
      <c r="C54" s="76"/>
      <c r="D54" s="77"/>
      <c r="E54" s="80"/>
      <c r="F54" s="81"/>
      <c r="G54" s="69" t="s">
        <v>33</v>
      </c>
      <c r="H54" s="71"/>
      <c r="I54" s="84" t="s">
        <v>223</v>
      </c>
      <c r="J54" s="85"/>
      <c r="K54" s="38" t="s">
        <v>223</v>
      </c>
      <c r="L54" s="39" t="s">
        <v>223</v>
      </c>
    </row>
    <row r="55" spans="1:12" ht="19.75" customHeight="1">
      <c r="A55" s="56" t="s">
        <v>104</v>
      </c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8"/>
    </row>
    <row r="56" spans="1:12" ht="19.75" customHeight="1">
      <c r="A56" s="69" t="s">
        <v>105</v>
      </c>
      <c r="B56" s="70"/>
      <c r="C56" s="69" t="s">
        <v>99</v>
      </c>
      <c r="D56" s="70"/>
      <c r="E56" s="70"/>
      <c r="F56" s="71"/>
      <c r="G56" s="69" t="s">
        <v>100</v>
      </c>
      <c r="H56" s="70"/>
      <c r="I56" s="70"/>
      <c r="J56" s="70"/>
      <c r="K56" s="70"/>
      <c r="L56" s="73"/>
    </row>
    <row r="57" spans="1:12" ht="19.75" customHeight="1">
      <c r="A57" s="86">
        <f>SUM(COUNTIF(J42:J47,{"RDM","PP","PMC","CM","MT","MPM","VV","II"}))</f>
        <v>4</v>
      </c>
      <c r="B57" s="87"/>
      <c r="C57" s="69" t="s">
        <v>106</v>
      </c>
      <c r="D57" s="71"/>
      <c r="E57" s="69" t="s">
        <v>107</v>
      </c>
      <c r="F57" s="71"/>
      <c r="G57" s="69"/>
      <c r="H57" s="71"/>
      <c r="I57" s="69" t="s">
        <v>56</v>
      </c>
      <c r="J57" s="71"/>
      <c r="K57" s="36" t="s">
        <v>52</v>
      </c>
      <c r="L57" s="32" t="s">
        <v>26</v>
      </c>
    </row>
    <row r="58" spans="1:12" ht="27" customHeight="1">
      <c r="A58" s="64"/>
      <c r="B58" s="88"/>
      <c r="C58" s="74">
        <f>SUM(COUNTIFS(J42:J47,{"RDM","PP","PMC","CM","MT","MPM","VV","II"},L42:L47,"=否"))</f>
        <v>0</v>
      </c>
      <c r="D58" s="75"/>
      <c r="E58" s="78">
        <f>(A57-C58)/A57</f>
        <v>1</v>
      </c>
      <c r="F58" s="79"/>
      <c r="G58" s="69" t="s">
        <v>103</v>
      </c>
      <c r="H58" s="71"/>
      <c r="I58" s="82">
        <f>SUM(COUNTIFS(J42:J47,{"RDM","PP","PMC","CM","MT","MPM","VV","II"},K42:K47,"=轻微"))</f>
        <v>2</v>
      </c>
      <c r="J58" s="83"/>
      <c r="K58" s="26">
        <f>SUM(COUNTIFS(J42:J47,{"RDM","PP","PMC","CM","MT","MPM","VV","II"},K42:K47,"=一般"))</f>
        <v>2</v>
      </c>
      <c r="L58" s="37">
        <f>SUM(COUNTIFS(J42:J47,{"RDM","PP","PMC","CM","MT","MPM","VV","II"},K42:K47,"=严重"))</f>
        <v>0</v>
      </c>
    </row>
    <row r="59" spans="1:12" ht="29.5" customHeight="1">
      <c r="A59" s="89"/>
      <c r="B59" s="90"/>
      <c r="C59" s="76"/>
      <c r="D59" s="77"/>
      <c r="E59" s="80"/>
      <c r="F59" s="81"/>
      <c r="G59" s="69" t="s">
        <v>33</v>
      </c>
      <c r="H59" s="71"/>
      <c r="I59" s="92">
        <f>I58/A57</f>
        <v>0.5</v>
      </c>
      <c r="J59" s="93"/>
      <c r="K59" s="38">
        <f>K58/A57</f>
        <v>0.5</v>
      </c>
      <c r="L59" s="39">
        <f>L58/A57</f>
        <v>0</v>
      </c>
    </row>
    <row r="60" spans="1:12" ht="27" customHeight="1">
      <c r="A60" s="56" t="s">
        <v>108</v>
      </c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8"/>
    </row>
    <row r="61" spans="1:12" ht="27" customHeight="1">
      <c r="A61" s="54" t="s">
        <v>109</v>
      </c>
      <c r="B61" s="55"/>
      <c r="C61" s="23" t="s">
        <v>59</v>
      </c>
      <c r="D61" s="23" t="s">
        <v>110</v>
      </c>
      <c r="E61" s="23" t="s">
        <v>31</v>
      </c>
      <c r="F61" s="23" t="s">
        <v>32</v>
      </c>
      <c r="G61" s="23" t="s">
        <v>60</v>
      </c>
      <c r="H61" s="23" t="s">
        <v>61</v>
      </c>
      <c r="I61" s="23" t="s">
        <v>62</v>
      </c>
      <c r="J61" s="23" t="s">
        <v>111</v>
      </c>
      <c r="K61" s="23" t="s">
        <v>37</v>
      </c>
      <c r="L61" s="24" t="s">
        <v>112</v>
      </c>
    </row>
    <row r="62" spans="1:12" ht="27" customHeight="1">
      <c r="A62" s="54" t="s">
        <v>103</v>
      </c>
      <c r="B62" s="55"/>
      <c r="C62" s="16">
        <f>COUNTIF(J42:J48,"=RDM")</f>
        <v>0</v>
      </c>
      <c r="D62" s="16">
        <f>COUNTIF(J42:J48,"=PP")</f>
        <v>0</v>
      </c>
      <c r="E62" s="16">
        <f>COUNTIF(J42:J48,"=PMC")</f>
        <v>2</v>
      </c>
      <c r="F62" s="16">
        <f>COUNTIF(J42:J48,"=CM")</f>
        <v>2</v>
      </c>
      <c r="G62" s="16">
        <f>COUNTIF(J42:J48,"=MT")</f>
        <v>0</v>
      </c>
      <c r="H62" s="16">
        <f>COUNTIF(J42:J48,"=MPM")</f>
        <v>0</v>
      </c>
      <c r="I62" s="16">
        <f>COUNTIF(J42:J48,"=VV")</f>
        <v>0</v>
      </c>
      <c r="J62" s="16">
        <f>COUNTIF(J42:J48,"=II")</f>
        <v>0</v>
      </c>
      <c r="K62" s="16">
        <f>COUNTIF(J42:J48,"=工作产品")</f>
        <v>0</v>
      </c>
      <c r="L62" s="37">
        <f>SUM(C62:K62)</f>
        <v>4</v>
      </c>
    </row>
    <row r="63" spans="1:12" ht="27" customHeight="1">
      <c r="A63" s="54" t="s">
        <v>33</v>
      </c>
      <c r="B63" s="55"/>
      <c r="C63" s="40">
        <f>C62/L62</f>
        <v>0</v>
      </c>
      <c r="D63" s="40">
        <f>D62/L62</f>
        <v>0</v>
      </c>
      <c r="E63" s="40">
        <f>E62/L62</f>
        <v>0.5</v>
      </c>
      <c r="F63" s="40">
        <f>F62/L62</f>
        <v>0.5</v>
      </c>
      <c r="G63" s="40">
        <f>G62/L62</f>
        <v>0</v>
      </c>
      <c r="H63" s="40">
        <f>H62/L62</f>
        <v>0</v>
      </c>
      <c r="I63" s="40">
        <f>I62/L62</f>
        <v>0</v>
      </c>
      <c r="J63" s="40">
        <f>J62/L62</f>
        <v>0</v>
      </c>
      <c r="K63" s="41">
        <f>K62/L62</f>
        <v>0</v>
      </c>
      <c r="L63" s="42" t="s">
        <v>113</v>
      </c>
    </row>
    <row r="64" spans="1:12" ht="19.75" customHeight="1">
      <c r="A64" s="56" t="s">
        <v>41</v>
      </c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8"/>
    </row>
    <row r="65" spans="1:12" ht="41" customHeight="1" thickBot="1">
      <c r="A65" s="66" t="s">
        <v>231</v>
      </c>
      <c r="B65" s="67"/>
      <c r="C65" s="67"/>
      <c r="D65" s="67"/>
      <c r="E65" s="67"/>
      <c r="F65" s="67"/>
      <c r="G65" s="67"/>
      <c r="H65" s="67"/>
      <c r="I65" s="67"/>
      <c r="J65" s="67"/>
      <c r="K65" s="67"/>
      <c r="L65" s="68"/>
    </row>
    <row r="66" spans="1:12" ht="19.75" customHeight="1">
      <c r="A66" s="43" t="s">
        <v>39</v>
      </c>
      <c r="B66" s="44"/>
      <c r="C66" s="45" t="str">
        <f>'015产品审核报告-软件需规2025.8.20'!F4</f>
        <v>软件需求规格说明</v>
      </c>
      <c r="D66" s="46"/>
      <c r="E66" s="46"/>
      <c r="F66" s="46"/>
      <c r="G66" s="46"/>
      <c r="H66" s="46"/>
      <c r="I66" s="46"/>
      <c r="J66" s="47"/>
      <c r="K66" s="31" t="s">
        <v>35</v>
      </c>
      <c r="L66" s="32">
        <f>'015产品审核报告-软件需规2025.8.20'!H5</f>
        <v>45889</v>
      </c>
    </row>
    <row r="67" spans="1:12" ht="19.75" customHeight="1">
      <c r="A67" s="48" t="s">
        <v>28</v>
      </c>
      <c r="B67" s="49"/>
      <c r="C67" s="49"/>
      <c r="D67" s="49"/>
      <c r="E67" s="49"/>
      <c r="F67" s="49"/>
      <c r="G67" s="49"/>
      <c r="H67" s="49"/>
      <c r="I67" s="50"/>
      <c r="J67" s="33" t="s">
        <v>38</v>
      </c>
      <c r="K67" s="31" t="s">
        <v>21</v>
      </c>
      <c r="L67" s="34" t="s">
        <v>29</v>
      </c>
    </row>
    <row r="68" spans="1:12" ht="19.75" customHeight="1">
      <c r="A68" s="29">
        <f>IF('015产品审核报告-软件需规2025.8.20'!B13="","",'015产品审核报告-软件需规2025.8.20'!B13)</f>
        <v>1</v>
      </c>
      <c r="B68" s="51" t="str">
        <f>IF('015产品审核报告-软件需规2025.8.20'!C13="","",'015产品审核报告-软件需规2025.8.20'!C13)</f>
        <v>3.3.1测控方案设计功能、3.3.2任务监视功能、3.3.3预警信息模拟功能、3.3.5效能评估功能需要细化，未能覆盖任务书中的要求。</v>
      </c>
      <c r="C68" s="52"/>
      <c r="D68" s="52"/>
      <c r="E68" s="52"/>
      <c r="F68" s="52"/>
      <c r="G68" s="52"/>
      <c r="H68" s="52"/>
      <c r="I68" s="53"/>
      <c r="J68" s="20" t="s">
        <v>37</v>
      </c>
      <c r="K68" s="20" t="str">
        <f>IF('015产品审核报告-软件需规2025.8.20'!F13="","",'015产品审核报告-软件需规2025.8.20'!F13)</f>
        <v>严重</v>
      </c>
      <c r="L68" s="35" t="s">
        <v>30</v>
      </c>
    </row>
    <row r="69" spans="1:12" ht="19.75" customHeight="1">
      <c r="A69" s="29">
        <f>IF('015产品审核报告-软件需规2025.8.20'!B14="","",'015产品审核报告-软件需规2025.8.20'!B14)</f>
        <v>2</v>
      </c>
      <c r="B69" s="51" t="str">
        <f>IF('015产品审核报告-软件需规2025.8.20'!C14="","",'015产品审核报告-软件需规2025.8.20'!C14)</f>
        <v>建议增加各功能点涉及到的算法、模型及指标体系内容。</v>
      </c>
      <c r="C69" s="52"/>
      <c r="D69" s="52"/>
      <c r="E69" s="52"/>
      <c r="F69" s="52"/>
      <c r="G69" s="52"/>
      <c r="H69" s="52"/>
      <c r="I69" s="53"/>
      <c r="J69" s="20" t="s">
        <v>37</v>
      </c>
      <c r="K69" s="20" t="str">
        <f>IF('015产品审核报告-软件需规2025.8.20'!F14="","",'015产品审核报告-软件需规2025.8.20'!F14)</f>
        <v>一般</v>
      </c>
      <c r="L69" s="35" t="s">
        <v>30</v>
      </c>
    </row>
    <row r="70" spans="1:12" ht="19.75" customHeight="1">
      <c r="A70" s="29">
        <f>IF('015产品审核报告-软件需规2025.8.20'!B15="","",'015产品审核报告-软件需规2025.8.20'!B15)</f>
        <v>3</v>
      </c>
      <c r="B70" s="51" t="str">
        <f>IF('015产品审核报告-软件需规2025.8.20'!C15="","",'015产品审核报告-软件需规2025.8.20'!C15)</f>
        <v>缺少任务中的环境需求</v>
      </c>
      <c r="C70" s="52"/>
      <c r="D70" s="52"/>
      <c r="E70" s="52"/>
      <c r="F70" s="52"/>
      <c r="G70" s="52"/>
      <c r="H70" s="52"/>
      <c r="I70" s="53"/>
      <c r="J70" s="20" t="s">
        <v>37</v>
      </c>
      <c r="K70" s="20" t="str">
        <f>IF('015产品审核报告-软件需规2025.8.20'!F15="","",'015产品审核报告-软件需规2025.8.20'!F15)</f>
        <v>严重</v>
      </c>
      <c r="L70" s="35" t="s">
        <v>30</v>
      </c>
    </row>
    <row r="71" spans="1:12" ht="19.75" customHeight="1">
      <c r="A71" s="29">
        <f>IF('015产品审核报告-软件需规2025.8.20'!B16="","",'015产品审核报告-软件需规2025.8.20'!B16)</f>
        <v>4</v>
      </c>
      <c r="B71" s="51" t="str">
        <f>IF('015产品审核报告-软件需规2025.8.20'!C16="","",'015产品审核报告-软件需规2025.8.20'!C16)</f>
        <v>缺少任务书中设计和实现约束相关内容</v>
      </c>
      <c r="C71" s="52"/>
      <c r="D71" s="52"/>
      <c r="E71" s="52"/>
      <c r="F71" s="52"/>
      <c r="G71" s="52"/>
      <c r="H71" s="52"/>
      <c r="I71" s="53"/>
      <c r="J71" s="20" t="s">
        <v>37</v>
      </c>
      <c r="K71" s="20" t="str">
        <f>IF('015产品审核报告-软件需规2025.8.20'!F15="","",'015产品审核报告-软件需规2025.8.20'!F15)</f>
        <v>严重</v>
      </c>
      <c r="L71" s="35" t="s">
        <v>30</v>
      </c>
    </row>
    <row r="72" spans="1:12" ht="19.75" customHeight="1">
      <c r="A72" s="43" t="s">
        <v>39</v>
      </c>
      <c r="B72" s="44"/>
      <c r="C72" s="45" t="str">
        <f>'018项目监控审核报告-2025.8.25（阶段）'!F4</f>
        <v>项目监控</v>
      </c>
      <c r="D72" s="46"/>
      <c r="E72" s="46"/>
      <c r="F72" s="46"/>
      <c r="G72" s="46"/>
      <c r="H72" s="46"/>
      <c r="I72" s="46"/>
      <c r="J72" s="47"/>
      <c r="K72" s="31" t="s">
        <v>35</v>
      </c>
      <c r="L72" s="32">
        <f>'018项目监控审核报告-2025.8.25（阶段）'!H5</f>
        <v>45894</v>
      </c>
    </row>
    <row r="73" spans="1:12" ht="19.75" customHeight="1">
      <c r="A73" s="48" t="s">
        <v>28</v>
      </c>
      <c r="B73" s="49"/>
      <c r="C73" s="49"/>
      <c r="D73" s="49"/>
      <c r="E73" s="49"/>
      <c r="F73" s="49"/>
      <c r="G73" s="49"/>
      <c r="H73" s="49"/>
      <c r="I73" s="50"/>
      <c r="J73" s="33" t="s">
        <v>38</v>
      </c>
      <c r="K73" s="31" t="s">
        <v>21</v>
      </c>
      <c r="L73" s="34" t="s">
        <v>29</v>
      </c>
    </row>
    <row r="74" spans="1:12" ht="19.75" customHeight="1">
      <c r="A74" s="29">
        <f>IF('018项目监控审核报告-2025.8.25（阶段）'!B13="","",'018项目监控审核报告-2025.8.25（阶段）'!B13)</f>
        <v>1</v>
      </c>
      <c r="B74" s="51" t="str">
        <f>IF('018项目监控审核报告-2025.8.25（阶段）'!C13="","",'018项目监控审核报告-2025.8.25（阶段）'!C13)</f>
        <v>未见本阶段的需求管理情况工作报告</v>
      </c>
      <c r="C74" s="52"/>
      <c r="D74" s="52"/>
      <c r="E74" s="52"/>
      <c r="F74" s="52"/>
      <c r="G74" s="52"/>
      <c r="H74" s="52"/>
      <c r="I74" s="53"/>
      <c r="J74" s="20" t="s">
        <v>85</v>
      </c>
      <c r="K74" s="20" t="str">
        <f>IF('018项目监控审核报告-2025.8.25（阶段）'!F13="","",'018项目监控审核报告-2025.8.25（阶段）'!F13)</f>
        <v>一般</v>
      </c>
      <c r="L74" s="35" t="s">
        <v>30</v>
      </c>
    </row>
    <row r="75" spans="1:12" ht="19.75" customHeight="1">
      <c r="A75" s="29">
        <f>IF('018项目监控审核报告-2025.8.25（阶段）'!B14="","",'018项目监控审核报告-2025.8.25（阶段）'!B14)</f>
        <v>2</v>
      </c>
      <c r="B75" s="51" t="str">
        <f>IF('018项目监控审核报告-2025.8.25（阶段）'!C14="","",'018项目监控审核报告-2025.8.25（阶段）'!C14)</f>
        <v>项目进展报告缺少项目总监签字</v>
      </c>
      <c r="C75" s="52"/>
      <c r="D75" s="52"/>
      <c r="E75" s="52"/>
      <c r="F75" s="52"/>
      <c r="G75" s="52"/>
      <c r="H75" s="52"/>
      <c r="I75" s="53"/>
      <c r="J75" s="20" t="s">
        <v>85</v>
      </c>
      <c r="K75" s="20" t="str">
        <f>IF('018项目监控审核报告-2025.8.25（阶段）'!F14="","",'018项目监控审核报告-2025.8.25（阶段）'!F14)</f>
        <v>一般</v>
      </c>
      <c r="L75" s="35" t="s">
        <v>236</v>
      </c>
    </row>
    <row r="76" spans="1:12" ht="19.75" customHeight="1">
      <c r="A76" s="43" t="s">
        <v>39</v>
      </c>
      <c r="B76" s="44"/>
      <c r="C76" s="45" t="str">
        <f>'020需求开发与管理审核报告-2025.8.25'!F4</f>
        <v>需求开发与管理</v>
      </c>
      <c r="D76" s="46"/>
      <c r="E76" s="46"/>
      <c r="F76" s="46"/>
      <c r="G76" s="46"/>
      <c r="H76" s="46"/>
      <c r="I76" s="46"/>
      <c r="J76" s="47"/>
      <c r="K76" s="31" t="s">
        <v>35</v>
      </c>
      <c r="L76" s="32">
        <f>'020需求开发与管理审核报告-2025.8.25'!H5</f>
        <v>45894</v>
      </c>
    </row>
    <row r="77" spans="1:12" ht="19.75" customHeight="1">
      <c r="A77" s="48" t="s">
        <v>28</v>
      </c>
      <c r="B77" s="49"/>
      <c r="C77" s="49"/>
      <c r="D77" s="49"/>
      <c r="E77" s="49"/>
      <c r="F77" s="49"/>
      <c r="G77" s="49"/>
      <c r="H77" s="49"/>
      <c r="I77" s="50"/>
      <c r="J77" s="33" t="s">
        <v>38</v>
      </c>
      <c r="K77" s="31" t="s">
        <v>21</v>
      </c>
      <c r="L77" s="34" t="s">
        <v>29</v>
      </c>
    </row>
    <row r="78" spans="1:12" ht="19.75" customHeight="1">
      <c r="A78" s="29">
        <f>IF('020需求开发与管理审核报告-2025.8.25'!B13="","",'020需求开发与管理审核报告-2025.8.25'!B13)</f>
        <v>1</v>
      </c>
      <c r="B78" s="51" t="str">
        <f>IF('020需求开发与管理审核报告-2025.8.25'!C13="","",'020需求开发与管理审核报告-2025.8.25'!C13)</f>
        <v>未见本阶段的需求管理情况工作报告</v>
      </c>
      <c r="C78" s="52"/>
      <c r="D78" s="52"/>
      <c r="E78" s="52"/>
      <c r="F78" s="52"/>
      <c r="G78" s="52"/>
      <c r="H78" s="52"/>
      <c r="I78" s="53"/>
      <c r="J78" s="20" t="s">
        <v>86</v>
      </c>
      <c r="K78" s="20" t="str">
        <f>IF('020需求开发与管理审核报告-2025.8.25'!F13="","",'020需求开发与管理审核报告-2025.8.25'!F13)</f>
        <v>一般</v>
      </c>
      <c r="L78" s="35" t="s">
        <v>30</v>
      </c>
    </row>
    <row r="79" spans="1:12" ht="19.75" customHeight="1">
      <c r="A79" s="43" t="s">
        <v>39</v>
      </c>
      <c r="B79" s="44"/>
      <c r="C79" s="45" t="str">
        <f>'021配置管理审核报告-2025.8.25'!F4</f>
        <v>配置管理</v>
      </c>
      <c r="D79" s="46"/>
      <c r="E79" s="46"/>
      <c r="F79" s="46"/>
      <c r="G79" s="46"/>
      <c r="H79" s="46"/>
      <c r="I79" s="46"/>
      <c r="J79" s="47"/>
      <c r="K79" s="31" t="s">
        <v>35</v>
      </c>
      <c r="L79" s="32">
        <f>'021配置管理审核报告-2025.8.25'!H5</f>
        <v>45894</v>
      </c>
    </row>
    <row r="80" spans="1:12" ht="19.75" customHeight="1">
      <c r="A80" s="48" t="s">
        <v>28</v>
      </c>
      <c r="B80" s="49"/>
      <c r="C80" s="49"/>
      <c r="D80" s="49"/>
      <c r="E80" s="49"/>
      <c r="F80" s="49"/>
      <c r="G80" s="49"/>
      <c r="H80" s="49"/>
      <c r="I80" s="50"/>
      <c r="J80" s="33" t="s">
        <v>38</v>
      </c>
      <c r="K80" s="31" t="s">
        <v>21</v>
      </c>
      <c r="L80" s="34" t="s">
        <v>29</v>
      </c>
    </row>
    <row r="81" spans="1:12" ht="19.75" customHeight="1">
      <c r="A81" s="29">
        <f>IF('021配置管理审核报告-2025.8.25'!B13="","",'021配置管理审核报告-2025.8.25'!B13)</f>
        <v>1</v>
      </c>
      <c r="B81" s="51" t="str">
        <f>IF('021配置管理审核报告-2025.8.25'!C13="","",'021配置管理审核报告-2025.8.25'!C13)</f>
        <v>受控库中配置项测试计划缺少标识</v>
      </c>
      <c r="C81" s="52"/>
      <c r="D81" s="52"/>
      <c r="E81" s="52"/>
      <c r="F81" s="52"/>
      <c r="G81" s="52"/>
      <c r="H81" s="52"/>
      <c r="I81" s="53"/>
      <c r="J81" s="20" t="s">
        <v>48</v>
      </c>
      <c r="K81" s="20" t="str">
        <f>IF('021配置管理审核报告-2025.8.25'!F13="","",'021配置管理审核报告-2025.8.25'!F13)</f>
        <v>轻微</v>
      </c>
      <c r="L81" s="35" t="s">
        <v>30</v>
      </c>
    </row>
    <row r="82" spans="1:12" ht="19.75" customHeight="1">
      <c r="A82" s="29">
        <f>IF('021配置管理审核报告-2025.8.25'!B14="","",'021配置管理审核报告-2025.8.25'!B14)</f>
        <v>2</v>
      </c>
      <c r="B82" s="51" t="str">
        <f>IF('021配置管理审核报告-2025.8.25'!C14="","",'021配置管理审核报告-2025.8.25'!C14)</f>
        <v>基线发布单缺少项目总监签字</v>
      </c>
      <c r="C82" s="52"/>
      <c r="D82" s="52"/>
      <c r="E82" s="52"/>
      <c r="F82" s="52"/>
      <c r="G82" s="52"/>
      <c r="H82" s="52"/>
      <c r="I82" s="53"/>
      <c r="J82" s="20" t="s">
        <v>48</v>
      </c>
      <c r="K82" s="20" t="str">
        <f>IF('021配置管理审核报告-2025.8.25'!F14="","",'021配置管理审核报告-2025.8.25'!F14)</f>
        <v>一般</v>
      </c>
      <c r="L82" s="35" t="s">
        <v>236</v>
      </c>
    </row>
    <row r="83" spans="1:12" ht="19.75" customHeight="1">
      <c r="A83" s="29">
        <f>IF('021配置管理审核报告-2025.8.25'!B15="","",'021配置管理审核报告-2025.8.25'!B15)</f>
        <v>3</v>
      </c>
      <c r="B83" s="51" t="str">
        <f>IF('021配置管理审核报告-2025.8.25'!C15="","",'021配置管理审核报告-2025.8.25'!C15)</f>
        <v>分配基线审核报告缺少功能审核的内容</v>
      </c>
      <c r="C83" s="52"/>
      <c r="D83" s="52"/>
      <c r="E83" s="52"/>
      <c r="F83" s="52"/>
      <c r="G83" s="52"/>
      <c r="H83" s="52"/>
      <c r="I83" s="53"/>
      <c r="J83" s="20" t="s">
        <v>48</v>
      </c>
      <c r="K83" s="20" t="str">
        <f>IF('021配置管理审核报告-2025.8.25'!F15="","",'021配置管理审核报告-2025.8.25'!F15)</f>
        <v>一般</v>
      </c>
      <c r="L83" s="35" t="s">
        <v>30</v>
      </c>
    </row>
    <row r="84" spans="1:12" ht="27" customHeight="1">
      <c r="A84" s="43" t="s">
        <v>39</v>
      </c>
      <c r="B84" s="44"/>
      <c r="C84" s="45" t="str">
        <f>'019测量与绩效管理审核报告-2025.8.25（阶段）'!F4</f>
        <v>测量与绩效管理</v>
      </c>
      <c r="D84" s="46"/>
      <c r="E84" s="46"/>
      <c r="F84" s="46"/>
      <c r="G84" s="46"/>
      <c r="H84" s="46"/>
      <c r="I84" s="46"/>
      <c r="J84" s="47"/>
      <c r="K84" s="31" t="s">
        <v>35</v>
      </c>
      <c r="L84" s="32">
        <f>'019测量与绩效管理审核报告-2025.8.25（阶段）'!H5</f>
        <v>45894</v>
      </c>
    </row>
    <row r="85" spans="1:12" ht="19.75" customHeight="1">
      <c r="A85" s="48" t="s">
        <v>28</v>
      </c>
      <c r="B85" s="49"/>
      <c r="C85" s="49"/>
      <c r="D85" s="49"/>
      <c r="E85" s="49"/>
      <c r="F85" s="49"/>
      <c r="G85" s="49"/>
      <c r="H85" s="49"/>
      <c r="I85" s="50"/>
      <c r="J85" s="33" t="s">
        <v>38</v>
      </c>
      <c r="K85" s="31" t="s">
        <v>21</v>
      </c>
      <c r="L85" s="34" t="s">
        <v>29</v>
      </c>
    </row>
    <row r="86" spans="1:12" ht="19.75" customHeight="1">
      <c r="A86" s="29">
        <f>IF('019测量与绩效管理审核报告-2025.8.25（阶段）'!B13="","",'019测量与绩效管理审核报告-2025.8.25（阶段）'!B13)</f>
        <v>1</v>
      </c>
      <c r="B86" s="51" t="str">
        <f>IF('019测量与绩效管理审核报告-2025.8.25（阶段）'!C13="","",'019测量与绩效管理审核报告-2025.8.25（阶段）'!C13)</f>
        <v>未见对配置项测试计划规模的采集数据</v>
      </c>
      <c r="C86" s="52"/>
      <c r="D86" s="52"/>
      <c r="E86" s="52"/>
      <c r="F86" s="52"/>
      <c r="G86" s="52"/>
      <c r="H86" s="52"/>
      <c r="I86" s="53"/>
      <c r="J86" s="20" t="s">
        <v>61</v>
      </c>
      <c r="K86" s="20" t="str">
        <f>IF('019测量与绩效管理审核报告-2025.8.25（阶段）'!F13="","",'019测量与绩效管理审核报告-2025.8.25（阶段）'!F13)</f>
        <v>一般</v>
      </c>
      <c r="L86" s="35" t="s">
        <v>30</v>
      </c>
    </row>
    <row r="87" spans="1:12" ht="82.25" customHeight="1">
      <c r="A87" s="54" t="s">
        <v>40</v>
      </c>
      <c r="B87" s="55"/>
      <c r="C87" s="51" t="s">
        <v>232</v>
      </c>
      <c r="D87" s="52"/>
      <c r="E87" s="52"/>
      <c r="F87" s="52"/>
      <c r="G87" s="52"/>
      <c r="H87" s="52"/>
      <c r="I87" s="52"/>
      <c r="J87" s="52"/>
      <c r="K87" s="52"/>
      <c r="L87" s="72"/>
    </row>
    <row r="88" spans="1:12" ht="19.75" customHeight="1">
      <c r="A88" s="54" t="s">
        <v>46</v>
      </c>
      <c r="B88" s="55"/>
      <c r="C88" s="69">
        <v>45847</v>
      </c>
      <c r="D88" s="70"/>
      <c r="E88" s="70"/>
      <c r="F88" s="71"/>
      <c r="G88" s="55" t="s">
        <v>34</v>
      </c>
      <c r="H88" s="55"/>
      <c r="I88" s="69">
        <v>45894</v>
      </c>
      <c r="J88" s="70"/>
      <c r="K88" s="71"/>
      <c r="L88" s="35"/>
    </row>
    <row r="89" spans="1:12" ht="19.75" customHeight="1">
      <c r="A89" s="56" t="s">
        <v>97</v>
      </c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8"/>
    </row>
    <row r="90" spans="1:12" ht="19.75" customHeight="1">
      <c r="A90" s="69" t="s">
        <v>98</v>
      </c>
      <c r="B90" s="70"/>
      <c r="C90" s="69" t="s">
        <v>99</v>
      </c>
      <c r="D90" s="70"/>
      <c r="E90" s="70"/>
      <c r="F90" s="71"/>
      <c r="G90" s="69" t="s">
        <v>100</v>
      </c>
      <c r="H90" s="70"/>
      <c r="I90" s="70"/>
      <c r="J90" s="70"/>
      <c r="K90" s="70"/>
      <c r="L90" s="73"/>
    </row>
    <row r="91" spans="1:12" ht="19.75" customHeight="1">
      <c r="A91" s="86">
        <f>COUNTIF(J8:J86,"工作产品")</f>
        <v>12</v>
      </c>
      <c r="B91" s="87"/>
      <c r="C91" s="69" t="s">
        <v>101</v>
      </c>
      <c r="D91" s="71"/>
      <c r="E91" s="69" t="s">
        <v>102</v>
      </c>
      <c r="F91" s="71"/>
      <c r="G91" s="69"/>
      <c r="H91" s="71"/>
      <c r="I91" s="69" t="s">
        <v>56</v>
      </c>
      <c r="J91" s="71"/>
      <c r="K91" s="36" t="s">
        <v>52</v>
      </c>
      <c r="L91" s="32" t="s">
        <v>26</v>
      </c>
    </row>
    <row r="92" spans="1:12" ht="19.75" customHeight="1">
      <c r="A92" s="64"/>
      <c r="B92" s="88"/>
      <c r="C92" s="74">
        <f>COUNTIFS(J8:J82,"工作产品",L8:L82,"=否")</f>
        <v>0</v>
      </c>
      <c r="D92" s="75"/>
      <c r="E92" s="78">
        <f>(A91-C92)/A91</f>
        <v>1</v>
      </c>
      <c r="F92" s="79"/>
      <c r="G92" s="69" t="s">
        <v>115</v>
      </c>
      <c r="H92" s="71"/>
      <c r="I92" s="82">
        <f>COUNTIFS(J8:J86,"工作产品",K8:K86,"=轻微")</f>
        <v>0</v>
      </c>
      <c r="J92" s="83"/>
      <c r="K92" s="26">
        <f>COUNTIFS(J8:J86,"工作产品",K8:K86,"=一般")</f>
        <v>8</v>
      </c>
      <c r="L92" s="37">
        <f>COUNTIFS(J8:J86,"工作产品",K8:K86,"=严重")</f>
        <v>4</v>
      </c>
    </row>
    <row r="93" spans="1:12" ht="19.75" customHeight="1">
      <c r="A93" s="89"/>
      <c r="B93" s="90"/>
      <c r="C93" s="76"/>
      <c r="D93" s="77"/>
      <c r="E93" s="80"/>
      <c r="F93" s="81"/>
      <c r="G93" s="69" t="s">
        <v>116</v>
      </c>
      <c r="H93" s="71"/>
      <c r="I93" s="84">
        <f>I92/A91</f>
        <v>0</v>
      </c>
      <c r="J93" s="85"/>
      <c r="K93" s="38">
        <f>K92/A91</f>
        <v>0.66666666666666663</v>
      </c>
      <c r="L93" s="39">
        <f>L92/A91</f>
        <v>0.33333333333333331</v>
      </c>
    </row>
    <row r="94" spans="1:12" ht="19.75" customHeight="1">
      <c r="A94" s="56" t="s">
        <v>117</v>
      </c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8"/>
    </row>
    <row r="95" spans="1:12" ht="19.75" customHeight="1">
      <c r="A95" s="69" t="s">
        <v>118</v>
      </c>
      <c r="B95" s="70"/>
      <c r="C95" s="69" t="s">
        <v>119</v>
      </c>
      <c r="D95" s="70"/>
      <c r="E95" s="70"/>
      <c r="F95" s="71"/>
      <c r="G95" s="69" t="s">
        <v>120</v>
      </c>
      <c r="H95" s="70"/>
      <c r="I95" s="70"/>
      <c r="J95" s="70"/>
      <c r="K95" s="70"/>
      <c r="L95" s="73"/>
    </row>
    <row r="96" spans="1:12" ht="19.75" customHeight="1">
      <c r="A96" s="86">
        <f>SUM(COUNTIF(J14:J86,{"RDM","PP","PMC","CM","MT","MPM","VV","II"}))</f>
        <v>11</v>
      </c>
      <c r="B96" s="87"/>
      <c r="C96" s="69" t="s">
        <v>121</v>
      </c>
      <c r="D96" s="71"/>
      <c r="E96" s="69" t="s">
        <v>122</v>
      </c>
      <c r="F96" s="71"/>
      <c r="G96" s="69"/>
      <c r="H96" s="71"/>
      <c r="I96" s="69" t="s">
        <v>123</v>
      </c>
      <c r="J96" s="71"/>
      <c r="K96" s="36" t="s">
        <v>124</v>
      </c>
      <c r="L96" s="32" t="s">
        <v>125</v>
      </c>
    </row>
    <row r="97" spans="1:12" ht="19.75" customHeight="1">
      <c r="A97" s="64"/>
      <c r="B97" s="88"/>
      <c r="C97" s="74">
        <f>SUM(COUNTIFS(J8:J86,{"RDM","PP","PMC","CM","MT","MPM","VV","II"},L8:L86,"=否"))</f>
        <v>2</v>
      </c>
      <c r="D97" s="75"/>
      <c r="E97" s="78">
        <f>(A96-C97)/A96</f>
        <v>0.81818181818181823</v>
      </c>
      <c r="F97" s="79"/>
      <c r="G97" s="69" t="s">
        <v>115</v>
      </c>
      <c r="H97" s="71"/>
      <c r="I97" s="82">
        <f>SUM(COUNTIFS(J8:J86,{"RDM","PP","PMC","CM","MT","MPM","VV","II"},K8:K86,"=轻微"))</f>
        <v>3</v>
      </c>
      <c r="J97" s="83"/>
      <c r="K97" s="26">
        <f>SUM(COUNTIFS(J8:J86,{"RDM","PP","PMC","CM","MT","MPM","VV","II"},K8:K86,"=一般"))</f>
        <v>8</v>
      </c>
      <c r="L97" s="37">
        <f>SUM(COUNTIFS(J8:J86,{"RDM","PP","PMC","CM","MT","MPM","VV","II"},K8:K86,"=严重"))</f>
        <v>0</v>
      </c>
    </row>
    <row r="98" spans="1:12" ht="19.75" customHeight="1">
      <c r="A98" s="89"/>
      <c r="B98" s="90"/>
      <c r="C98" s="76"/>
      <c r="D98" s="77"/>
      <c r="E98" s="80"/>
      <c r="F98" s="81"/>
      <c r="G98" s="69" t="s">
        <v>116</v>
      </c>
      <c r="H98" s="71"/>
      <c r="I98" s="92">
        <f>I97/A96</f>
        <v>0.27272727272727271</v>
      </c>
      <c r="J98" s="93"/>
      <c r="K98" s="38">
        <f>K97/A96</f>
        <v>0.72727272727272729</v>
      </c>
      <c r="L98" s="39">
        <f>L97/A96</f>
        <v>0</v>
      </c>
    </row>
    <row r="99" spans="1:12" ht="19.75" customHeight="1">
      <c r="A99" s="56" t="s">
        <v>126</v>
      </c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8"/>
    </row>
    <row r="100" spans="1:12" ht="60.5" customHeight="1">
      <c r="A100" s="54" t="s">
        <v>127</v>
      </c>
      <c r="B100" s="55"/>
      <c r="C100" s="23" t="s">
        <v>128</v>
      </c>
      <c r="D100" s="23" t="s">
        <v>129</v>
      </c>
      <c r="E100" s="23" t="s">
        <v>31</v>
      </c>
      <c r="F100" s="23" t="s">
        <v>32</v>
      </c>
      <c r="G100" s="23" t="s">
        <v>130</v>
      </c>
      <c r="H100" s="23" t="s">
        <v>131</v>
      </c>
      <c r="I100" s="23" t="s">
        <v>132</v>
      </c>
      <c r="J100" s="23" t="s">
        <v>133</v>
      </c>
      <c r="K100" s="23" t="s">
        <v>134</v>
      </c>
      <c r="L100" s="24" t="s">
        <v>135</v>
      </c>
    </row>
    <row r="101" spans="1:12" ht="19.75" customHeight="1">
      <c r="A101" s="54" t="s">
        <v>115</v>
      </c>
      <c r="B101" s="55"/>
      <c r="C101" s="16">
        <f>COUNTIF(J8:J86,"=RDM")</f>
        <v>1</v>
      </c>
      <c r="D101" s="16">
        <f>COUNTIF(J8:J86,"=PP")</f>
        <v>0</v>
      </c>
      <c r="E101" s="16">
        <f>COUNTIF(J8:J86,"=PMC")</f>
        <v>4</v>
      </c>
      <c r="F101" s="16">
        <f>COUNTIF(J8:J86,"=CM")</f>
        <v>5</v>
      </c>
      <c r="G101" s="16">
        <f>COUNTIF(J8:J86,"=MT")</f>
        <v>0</v>
      </c>
      <c r="H101" s="16">
        <f>COUNTIF(J8:J86,"=MPM")</f>
        <v>1</v>
      </c>
      <c r="I101" s="16">
        <f>COUNTIF(J8:J86,"=VV")</f>
        <v>0</v>
      </c>
      <c r="J101" s="16">
        <f>COUNTIF(J8:J86,"=II")</f>
        <v>0</v>
      </c>
      <c r="K101" s="16">
        <f>COUNTIF(J8:J86,"=工作产品")</f>
        <v>12</v>
      </c>
      <c r="L101" s="37">
        <f>SUM(C101:K101)</f>
        <v>23</v>
      </c>
    </row>
    <row r="102" spans="1:12" ht="19.75" customHeight="1">
      <c r="A102" s="54" t="s">
        <v>116</v>
      </c>
      <c r="B102" s="55"/>
      <c r="C102" s="40">
        <f>C101/L101</f>
        <v>4.3478260869565216E-2</v>
      </c>
      <c r="D102" s="40">
        <f>D101/L101</f>
        <v>0</v>
      </c>
      <c r="E102" s="40">
        <f>E101/L101</f>
        <v>0.17391304347826086</v>
      </c>
      <c r="F102" s="40">
        <f>F101/L101</f>
        <v>0.21739130434782608</v>
      </c>
      <c r="G102" s="40">
        <f>G101/L101</f>
        <v>0</v>
      </c>
      <c r="H102" s="40">
        <f>H101/L101</f>
        <v>4.3478260869565216E-2</v>
      </c>
      <c r="I102" s="40">
        <f>I101/L101</f>
        <v>0</v>
      </c>
      <c r="J102" s="40">
        <f>J101/L101</f>
        <v>0</v>
      </c>
      <c r="K102" s="41">
        <f>K101/L101</f>
        <v>0.52173913043478259</v>
      </c>
      <c r="L102" s="42" t="s">
        <v>136</v>
      </c>
    </row>
    <row r="103" spans="1:12" ht="19.75" customHeight="1">
      <c r="A103" s="56" t="s">
        <v>41</v>
      </c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8"/>
    </row>
    <row r="104" spans="1:12" ht="72.5" customHeight="1" thickBot="1">
      <c r="A104" s="66" t="s">
        <v>238</v>
      </c>
      <c r="B104" s="67"/>
      <c r="C104" s="67"/>
      <c r="D104" s="67"/>
      <c r="E104" s="67"/>
      <c r="F104" s="67"/>
      <c r="G104" s="67"/>
      <c r="H104" s="67"/>
      <c r="I104" s="67"/>
      <c r="J104" s="67"/>
      <c r="K104" s="67"/>
      <c r="L104" s="68"/>
    </row>
  </sheetData>
  <mergeCells count="191">
    <mergeCell ref="A60:L60"/>
    <mergeCell ref="A61:B61"/>
    <mergeCell ref="A62:B62"/>
    <mergeCell ref="A63:B63"/>
    <mergeCell ref="A64:L64"/>
    <mergeCell ref="A65:L65"/>
    <mergeCell ref="A84:B84"/>
    <mergeCell ref="C84:J84"/>
    <mergeCell ref="B83:I83"/>
    <mergeCell ref="B70:I70"/>
    <mergeCell ref="C79:J79"/>
    <mergeCell ref="A55:L55"/>
    <mergeCell ref="A56:B56"/>
    <mergeCell ref="C56:F56"/>
    <mergeCell ref="G56:L56"/>
    <mergeCell ref="A57:B59"/>
    <mergeCell ref="C57:D57"/>
    <mergeCell ref="E57:F57"/>
    <mergeCell ref="G57:H57"/>
    <mergeCell ref="I57:J57"/>
    <mergeCell ref="C58:D59"/>
    <mergeCell ref="E58:F59"/>
    <mergeCell ref="G58:H58"/>
    <mergeCell ref="I58:J58"/>
    <mergeCell ref="G59:H59"/>
    <mergeCell ref="I59:J59"/>
    <mergeCell ref="A50:L50"/>
    <mergeCell ref="A51:B51"/>
    <mergeCell ref="C51:F51"/>
    <mergeCell ref="G51:L51"/>
    <mergeCell ref="A52:B54"/>
    <mergeCell ref="C52:D52"/>
    <mergeCell ref="E52:F52"/>
    <mergeCell ref="G52:H52"/>
    <mergeCell ref="I52:J52"/>
    <mergeCell ref="C53:D54"/>
    <mergeCell ref="E53:F54"/>
    <mergeCell ref="G53:H53"/>
    <mergeCell ref="I53:J53"/>
    <mergeCell ref="G54:H54"/>
    <mergeCell ref="I54:J54"/>
    <mergeCell ref="C48:L48"/>
    <mergeCell ref="A49:B49"/>
    <mergeCell ref="C49:F49"/>
    <mergeCell ref="G49:H49"/>
    <mergeCell ref="I49:K49"/>
    <mergeCell ref="B47:I47"/>
    <mergeCell ref="A40:B40"/>
    <mergeCell ref="C40:J40"/>
    <mergeCell ref="A41:I41"/>
    <mergeCell ref="B42:I42"/>
    <mergeCell ref="B43:I43"/>
    <mergeCell ref="A44:B44"/>
    <mergeCell ref="C44:J44"/>
    <mergeCell ref="A45:I45"/>
    <mergeCell ref="B46:I46"/>
    <mergeCell ref="A99:L99"/>
    <mergeCell ref="A100:B100"/>
    <mergeCell ref="A101:B101"/>
    <mergeCell ref="A102:B102"/>
    <mergeCell ref="A94:L94"/>
    <mergeCell ref="A95:B95"/>
    <mergeCell ref="C95:F95"/>
    <mergeCell ref="G95:L95"/>
    <mergeCell ref="A96:B98"/>
    <mergeCell ref="C96:D96"/>
    <mergeCell ref="E96:F96"/>
    <mergeCell ref="G96:H96"/>
    <mergeCell ref="I96:J96"/>
    <mergeCell ref="C97:D98"/>
    <mergeCell ref="E97:F98"/>
    <mergeCell ref="G97:H97"/>
    <mergeCell ref="I97:J97"/>
    <mergeCell ref="G98:H98"/>
    <mergeCell ref="I98:J98"/>
    <mergeCell ref="A89:L89"/>
    <mergeCell ref="A90:B90"/>
    <mergeCell ref="C90:F90"/>
    <mergeCell ref="G90:L90"/>
    <mergeCell ref="A91:B93"/>
    <mergeCell ref="C91:D91"/>
    <mergeCell ref="E91:F91"/>
    <mergeCell ref="G91:H91"/>
    <mergeCell ref="I91:J91"/>
    <mergeCell ref="C92:D93"/>
    <mergeCell ref="E92:F93"/>
    <mergeCell ref="G92:H92"/>
    <mergeCell ref="I92:J92"/>
    <mergeCell ref="G93:H93"/>
    <mergeCell ref="I93:J93"/>
    <mergeCell ref="E26:F26"/>
    <mergeCell ref="G26:H26"/>
    <mergeCell ref="I26:J26"/>
    <mergeCell ref="A85:I85"/>
    <mergeCell ref="B86:I86"/>
    <mergeCell ref="A31:B33"/>
    <mergeCell ref="C32:D33"/>
    <mergeCell ref="E32:F33"/>
    <mergeCell ref="G33:H33"/>
    <mergeCell ref="I33:J33"/>
    <mergeCell ref="A34:L34"/>
    <mergeCell ref="A36:B36"/>
    <mergeCell ref="A37:B37"/>
    <mergeCell ref="C31:D31"/>
    <mergeCell ref="E31:F31"/>
    <mergeCell ref="G31:H31"/>
    <mergeCell ref="I31:J31"/>
    <mergeCell ref="G32:H32"/>
    <mergeCell ref="I32:J32"/>
    <mergeCell ref="A35:B35"/>
    <mergeCell ref="A67:I67"/>
    <mergeCell ref="A66:B66"/>
    <mergeCell ref="C66:J66"/>
    <mergeCell ref="A48:B48"/>
    <mergeCell ref="A38:L38"/>
    <mergeCell ref="A39:L39"/>
    <mergeCell ref="C22:L22"/>
    <mergeCell ref="A23:B23"/>
    <mergeCell ref="C23:F23"/>
    <mergeCell ref="G23:H23"/>
    <mergeCell ref="I23:K23"/>
    <mergeCell ref="B21:I21"/>
    <mergeCell ref="A24:L24"/>
    <mergeCell ref="A25:B25"/>
    <mergeCell ref="C25:F25"/>
    <mergeCell ref="G25:L25"/>
    <mergeCell ref="C27:D28"/>
    <mergeCell ref="E27:F28"/>
    <mergeCell ref="G27:H27"/>
    <mergeCell ref="I27:J27"/>
    <mergeCell ref="G28:H28"/>
    <mergeCell ref="I28:J28"/>
    <mergeCell ref="A29:L29"/>
    <mergeCell ref="A30:B30"/>
    <mergeCell ref="C30:F30"/>
    <mergeCell ref="G30:L30"/>
    <mergeCell ref="A26:B28"/>
    <mergeCell ref="C26:D26"/>
    <mergeCell ref="A104:L104"/>
    <mergeCell ref="A88:B88"/>
    <mergeCell ref="G88:H88"/>
    <mergeCell ref="C88:F88"/>
    <mergeCell ref="I88:K88"/>
    <mergeCell ref="A103:L103"/>
    <mergeCell ref="C87:L87"/>
    <mergeCell ref="A87:B87"/>
    <mergeCell ref="B68:I68"/>
    <mergeCell ref="B69:I69"/>
    <mergeCell ref="B71:I71"/>
    <mergeCell ref="A72:B72"/>
    <mergeCell ref="C72:J72"/>
    <mergeCell ref="A73:I73"/>
    <mergeCell ref="B74:I74"/>
    <mergeCell ref="B75:I75"/>
    <mergeCell ref="A76:B76"/>
    <mergeCell ref="A80:I80"/>
    <mergeCell ref="B81:I81"/>
    <mergeCell ref="B82:I82"/>
    <mergeCell ref="C76:J76"/>
    <mergeCell ref="A77:I77"/>
    <mergeCell ref="B78:I78"/>
    <mergeCell ref="A79:B79"/>
    <mergeCell ref="A1:L1"/>
    <mergeCell ref="B3:L3"/>
    <mergeCell ref="B4:C4"/>
    <mergeCell ref="F4:I4"/>
    <mergeCell ref="A2:L2"/>
    <mergeCell ref="M4:N4"/>
    <mergeCell ref="K4:L4"/>
    <mergeCell ref="D4:E4"/>
    <mergeCell ref="A6:B6"/>
    <mergeCell ref="C6:J6"/>
    <mergeCell ref="A14:B14"/>
    <mergeCell ref="C14:J14"/>
    <mergeCell ref="A15:I15"/>
    <mergeCell ref="B16:I16"/>
    <mergeCell ref="A22:B22"/>
    <mergeCell ref="A7:I7"/>
    <mergeCell ref="B8:I8"/>
    <mergeCell ref="B9:I9"/>
    <mergeCell ref="A5:L5"/>
    <mergeCell ref="A10:B10"/>
    <mergeCell ref="C10:J10"/>
    <mergeCell ref="A11:I11"/>
    <mergeCell ref="B12:I12"/>
    <mergeCell ref="B13:I13"/>
    <mergeCell ref="B17:I17"/>
    <mergeCell ref="A18:B18"/>
    <mergeCell ref="C18:J18"/>
    <mergeCell ref="A19:I19"/>
    <mergeCell ref="B20:I20"/>
  </mergeCells>
  <phoneticPr fontId="1" type="noConversion"/>
  <pageMargins left="0.7" right="0.7" top="0.75" bottom="0.75" header="0.3" footer="0.3"/>
  <pageSetup paperSize="9" scale="8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39"/>
  <sheetViews>
    <sheetView view="pageLayout" zoomScaleNormal="100" workbookViewId="0">
      <selection activeCell="B8" sqref="B8:K8"/>
    </sheetView>
  </sheetViews>
  <sheetFormatPr baseColWidth="10" defaultColWidth="9" defaultRowHeight="14"/>
  <cols>
    <col min="1" max="1" width="1.1640625" style="3" customWidth="1"/>
    <col min="2" max="2" width="11" style="3" customWidth="1"/>
    <col min="3" max="3" width="9" style="3"/>
    <col min="4" max="4" width="8" style="3" customWidth="1"/>
    <col min="5" max="5" width="6.6640625" style="3" customWidth="1"/>
    <col min="6" max="6" width="10.6640625" style="3" customWidth="1"/>
    <col min="7" max="7" width="9" style="3"/>
    <col min="8" max="8" width="12.1640625" style="3" customWidth="1"/>
    <col min="9" max="9" width="12" style="3" customWidth="1"/>
    <col min="10" max="10" width="9" style="3" customWidth="1"/>
    <col min="11" max="11" width="2.33203125" style="3" customWidth="1"/>
    <col min="12" max="16384" width="9" style="3"/>
  </cols>
  <sheetData>
    <row r="1" spans="2:11" ht="28.25" customHeight="1">
      <c r="B1" s="59" t="s">
        <v>24</v>
      </c>
      <c r="C1" s="59"/>
      <c r="D1" s="59"/>
      <c r="E1" s="59"/>
      <c r="F1" s="59"/>
      <c r="G1" s="59"/>
      <c r="H1" s="59"/>
      <c r="I1" s="59"/>
      <c r="J1" s="59"/>
      <c r="K1" s="59"/>
    </row>
    <row r="2" spans="2:11" ht="28.25" customHeight="1" thickBot="1">
      <c r="B2" s="63" t="s">
        <v>139</v>
      </c>
      <c r="C2" s="63"/>
      <c r="D2" s="63"/>
      <c r="E2" s="63"/>
      <c r="F2" s="63"/>
      <c r="G2" s="63"/>
      <c r="H2" s="63"/>
      <c r="I2" s="63"/>
      <c r="J2" s="63"/>
      <c r="K2" s="63"/>
    </row>
    <row r="3" spans="2:11" ht="25" customHeight="1" thickTop="1">
      <c r="B3" s="13" t="s">
        <v>47</v>
      </c>
      <c r="C3" s="113" t="s">
        <v>239</v>
      </c>
      <c r="D3" s="114"/>
      <c r="E3" s="114"/>
      <c r="F3" s="114"/>
      <c r="G3" s="115"/>
      <c r="H3" s="14" t="s">
        <v>15</v>
      </c>
      <c r="I3" s="116" t="s">
        <v>67</v>
      </c>
      <c r="J3" s="116"/>
      <c r="K3" s="117"/>
    </row>
    <row r="4" spans="2:11" ht="25" customHeight="1">
      <c r="B4" s="94" t="s">
        <v>5</v>
      </c>
      <c r="C4" s="95"/>
      <c r="D4" s="95"/>
      <c r="E4" s="95"/>
      <c r="F4" s="51" t="s">
        <v>64</v>
      </c>
      <c r="G4" s="52"/>
      <c r="H4" s="52"/>
      <c r="I4" s="52"/>
      <c r="J4" s="52"/>
      <c r="K4" s="102"/>
    </row>
    <row r="5" spans="2:11" ht="25" customHeight="1">
      <c r="B5" s="8" t="s">
        <v>6</v>
      </c>
      <c r="C5" s="103" t="s">
        <v>51</v>
      </c>
      <c r="D5" s="120"/>
      <c r="E5" s="104"/>
      <c r="F5" s="118" t="s">
        <v>45</v>
      </c>
      <c r="G5" s="119"/>
      <c r="H5" s="118">
        <v>45853</v>
      </c>
      <c r="I5" s="121"/>
      <c r="J5" s="121"/>
      <c r="K5" s="122"/>
    </row>
    <row r="6" spans="2:11" ht="25" customHeight="1">
      <c r="B6" s="15" t="s">
        <v>7</v>
      </c>
      <c r="C6" s="98" t="s">
        <v>140</v>
      </c>
      <c r="D6" s="98"/>
      <c r="E6" s="98"/>
      <c r="F6" s="98"/>
      <c r="G6" s="98"/>
      <c r="H6" s="98"/>
      <c r="I6" s="98"/>
      <c r="J6" s="98"/>
      <c r="K6" s="99"/>
    </row>
    <row r="7" spans="2:11" ht="25" customHeight="1">
      <c r="B7" s="94" t="s">
        <v>8</v>
      </c>
      <c r="C7" s="95"/>
      <c r="D7" s="95"/>
      <c r="E7" s="95"/>
      <c r="F7" s="95"/>
      <c r="G7" s="95"/>
      <c r="H7" s="95"/>
      <c r="I7" s="95"/>
      <c r="J7" s="95"/>
      <c r="K7" s="96"/>
    </row>
    <row r="8" spans="2:11" ht="150" customHeight="1">
      <c r="B8" s="97" t="s">
        <v>79</v>
      </c>
      <c r="C8" s="98"/>
      <c r="D8" s="98"/>
      <c r="E8" s="98"/>
      <c r="F8" s="98"/>
      <c r="G8" s="98"/>
      <c r="H8" s="98"/>
      <c r="I8" s="98"/>
      <c r="J8" s="98"/>
      <c r="K8" s="99"/>
    </row>
    <row r="9" spans="2:11" ht="25" customHeight="1">
      <c r="B9" s="100" t="s">
        <v>13</v>
      </c>
      <c r="C9" s="75"/>
      <c r="D9" s="82" t="s">
        <v>27</v>
      </c>
      <c r="E9" s="83"/>
      <c r="F9" s="82" t="s">
        <v>16</v>
      </c>
      <c r="G9" s="83"/>
      <c r="H9" s="82" t="s">
        <v>17</v>
      </c>
      <c r="I9" s="83"/>
      <c r="J9" s="82" t="s">
        <v>18</v>
      </c>
      <c r="K9" s="123"/>
    </row>
    <row r="10" spans="2:11" ht="25" customHeight="1">
      <c r="B10" s="101"/>
      <c r="C10" s="77"/>
      <c r="D10" s="82">
        <f>COUNTIF(B13:B14,"&lt;&gt;")</f>
        <v>2</v>
      </c>
      <c r="E10" s="83"/>
      <c r="F10" s="103">
        <f>COUNTIF(F13:F15,"=轻微")</f>
        <v>0</v>
      </c>
      <c r="G10" s="104"/>
      <c r="H10" s="103">
        <f>COUNTIF(F13:F15,"=一般")</f>
        <v>2</v>
      </c>
      <c r="I10" s="104"/>
      <c r="J10" s="103">
        <f>COUNTIF(F13:F15,"=严重")</f>
        <v>0</v>
      </c>
      <c r="K10" s="104"/>
    </row>
    <row r="11" spans="2:11" ht="25" customHeight="1">
      <c r="B11" s="94" t="s">
        <v>14</v>
      </c>
      <c r="C11" s="95"/>
      <c r="D11" s="95"/>
      <c r="E11" s="95"/>
      <c r="F11" s="95"/>
      <c r="G11" s="95"/>
      <c r="H11" s="95"/>
      <c r="I11" s="95"/>
      <c r="J11" s="95"/>
      <c r="K11" s="96"/>
    </row>
    <row r="12" spans="2:11" s="18" customFormat="1" ht="25" customHeight="1">
      <c r="B12" s="17" t="s">
        <v>20</v>
      </c>
      <c r="C12" s="105" t="s">
        <v>19</v>
      </c>
      <c r="D12" s="105"/>
      <c r="E12" s="105"/>
      <c r="F12" s="16" t="s">
        <v>21</v>
      </c>
      <c r="G12" s="16" t="s">
        <v>9</v>
      </c>
      <c r="H12" s="16" t="s">
        <v>10</v>
      </c>
      <c r="I12" s="16" t="s">
        <v>11</v>
      </c>
      <c r="J12" s="105" t="s">
        <v>22</v>
      </c>
      <c r="K12" s="106"/>
    </row>
    <row r="13" spans="2:11" ht="71.5" customHeight="1">
      <c r="B13" s="19">
        <v>1</v>
      </c>
      <c r="C13" s="51" t="s">
        <v>153</v>
      </c>
      <c r="D13" s="52"/>
      <c r="E13" s="53"/>
      <c r="F13" s="20" t="s">
        <v>71</v>
      </c>
      <c r="G13" s="20" t="s">
        <v>150</v>
      </c>
      <c r="H13" s="21" t="s">
        <v>151</v>
      </c>
      <c r="I13" s="21" t="s">
        <v>152</v>
      </c>
      <c r="J13" s="51" t="s">
        <v>155</v>
      </c>
      <c r="K13" s="102"/>
    </row>
    <row r="14" spans="2:11" ht="88.25" customHeight="1">
      <c r="B14" s="19">
        <v>2</v>
      </c>
      <c r="C14" s="51" t="s">
        <v>154</v>
      </c>
      <c r="D14" s="52"/>
      <c r="E14" s="53"/>
      <c r="F14" s="20" t="s">
        <v>71</v>
      </c>
      <c r="G14" s="20" t="s">
        <v>150</v>
      </c>
      <c r="H14" s="21" t="s">
        <v>151</v>
      </c>
      <c r="I14" s="21" t="s">
        <v>152</v>
      </c>
      <c r="J14" s="51" t="s">
        <v>72</v>
      </c>
      <c r="K14" s="102"/>
    </row>
    <row r="15" spans="2:11" ht="24.75" customHeight="1">
      <c r="B15" s="107" t="s">
        <v>12</v>
      </c>
      <c r="C15" s="108"/>
      <c r="D15" s="108"/>
      <c r="E15" s="108"/>
      <c r="F15" s="108"/>
      <c r="G15" s="108"/>
      <c r="H15" s="108"/>
      <c r="I15" s="108"/>
      <c r="J15" s="108"/>
      <c r="K15" s="109"/>
    </row>
    <row r="16" spans="2:11" ht="94.25" customHeight="1" thickBot="1">
      <c r="B16" s="110" t="s">
        <v>49</v>
      </c>
      <c r="C16" s="111"/>
      <c r="D16" s="111"/>
      <c r="E16" s="111"/>
      <c r="F16" s="111"/>
      <c r="G16" s="111"/>
      <c r="H16" s="111"/>
      <c r="I16" s="111"/>
      <c r="J16" s="111"/>
      <c r="K16" s="112"/>
    </row>
    <row r="17" ht="15" thickTop="1"/>
    <row r="39" spans="9:9">
      <c r="I39" s="22"/>
    </row>
  </sheetData>
  <mergeCells count="30">
    <mergeCell ref="C14:E14"/>
    <mergeCell ref="J14:K14"/>
    <mergeCell ref="B15:K15"/>
    <mergeCell ref="B16:K16"/>
    <mergeCell ref="B1:K1"/>
    <mergeCell ref="B2:K2"/>
    <mergeCell ref="C3:G3"/>
    <mergeCell ref="I3:K3"/>
    <mergeCell ref="B4:E4"/>
    <mergeCell ref="F4:K4"/>
    <mergeCell ref="F5:G5"/>
    <mergeCell ref="C6:K6"/>
    <mergeCell ref="C5:E5"/>
    <mergeCell ref="H5:K5"/>
    <mergeCell ref="B11:K11"/>
    <mergeCell ref="J9:K9"/>
    <mergeCell ref="C13:E13"/>
    <mergeCell ref="B7:K7"/>
    <mergeCell ref="B8:K8"/>
    <mergeCell ref="B9:C10"/>
    <mergeCell ref="D9:E9"/>
    <mergeCell ref="F9:G9"/>
    <mergeCell ref="H9:I9"/>
    <mergeCell ref="J13:K13"/>
    <mergeCell ref="D10:E10"/>
    <mergeCell ref="F10:G10"/>
    <mergeCell ref="H10:I10"/>
    <mergeCell ref="J10:K10"/>
    <mergeCell ref="C12:E12"/>
    <mergeCell ref="J12:K12"/>
  </mergeCells>
  <phoneticPr fontId="1" type="noConversion"/>
  <pageMargins left="0.25" right="0.25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39"/>
  <sheetViews>
    <sheetView view="pageLayout" topLeftCell="A10" zoomScaleNormal="100" workbookViewId="0">
      <selection activeCell="B2" sqref="B2:K2"/>
    </sheetView>
  </sheetViews>
  <sheetFormatPr baseColWidth="10" defaultColWidth="9" defaultRowHeight="14"/>
  <cols>
    <col min="1" max="1" width="1.1640625" style="3" customWidth="1"/>
    <col min="2" max="2" width="9.5" style="3" customWidth="1"/>
    <col min="3" max="3" width="9" style="3"/>
    <col min="4" max="4" width="8" style="3" customWidth="1"/>
    <col min="5" max="5" width="4.83203125" style="3" customWidth="1"/>
    <col min="6" max="6" width="10.6640625" style="3" customWidth="1"/>
    <col min="7" max="7" width="6.33203125" style="3" customWidth="1"/>
    <col min="8" max="8" width="12.1640625" style="3" customWidth="1"/>
    <col min="9" max="9" width="14.1640625" style="3" customWidth="1"/>
    <col min="10" max="10" width="9" style="3" customWidth="1"/>
    <col min="11" max="11" width="6.5" style="3" customWidth="1"/>
    <col min="12" max="16384" width="9" style="3"/>
  </cols>
  <sheetData>
    <row r="1" spans="2:11" ht="28.25" customHeight="1">
      <c r="B1" s="59" t="s">
        <v>24</v>
      </c>
      <c r="C1" s="59"/>
      <c r="D1" s="59"/>
      <c r="E1" s="59"/>
      <c r="F1" s="59"/>
      <c r="G1" s="59"/>
      <c r="H1" s="59"/>
      <c r="I1" s="59"/>
      <c r="J1" s="59"/>
      <c r="K1" s="59"/>
    </row>
    <row r="2" spans="2:11" ht="28.25" customHeight="1" thickBot="1">
      <c r="B2" s="63" t="s">
        <v>141</v>
      </c>
      <c r="C2" s="63"/>
      <c r="D2" s="63"/>
      <c r="E2" s="63"/>
      <c r="F2" s="63"/>
      <c r="G2" s="63"/>
      <c r="H2" s="63"/>
      <c r="I2" s="63"/>
      <c r="J2" s="63"/>
      <c r="K2" s="63"/>
    </row>
    <row r="3" spans="2:11" ht="25" customHeight="1" thickTop="1">
      <c r="B3" s="13" t="s">
        <v>2</v>
      </c>
      <c r="C3" s="113" t="s">
        <v>239</v>
      </c>
      <c r="D3" s="114"/>
      <c r="E3" s="114"/>
      <c r="F3" s="114"/>
      <c r="G3" s="115"/>
      <c r="H3" s="14" t="s">
        <v>15</v>
      </c>
      <c r="I3" s="116" t="s">
        <v>67</v>
      </c>
      <c r="J3" s="116"/>
      <c r="K3" s="117"/>
    </row>
    <row r="4" spans="2:11" ht="25" customHeight="1">
      <c r="B4" s="94" t="s">
        <v>5</v>
      </c>
      <c r="C4" s="95"/>
      <c r="D4" s="95"/>
      <c r="E4" s="95"/>
      <c r="F4" s="51" t="s">
        <v>63</v>
      </c>
      <c r="G4" s="52"/>
      <c r="H4" s="52"/>
      <c r="I4" s="52"/>
      <c r="J4" s="52"/>
      <c r="K4" s="102"/>
    </row>
    <row r="5" spans="2:11" ht="25" customHeight="1">
      <c r="B5" s="8" t="s">
        <v>6</v>
      </c>
      <c r="C5" s="103" t="s">
        <v>87</v>
      </c>
      <c r="D5" s="120"/>
      <c r="E5" s="104"/>
      <c r="F5" s="118" t="s">
        <v>45</v>
      </c>
      <c r="G5" s="119"/>
      <c r="H5" s="118">
        <v>45853</v>
      </c>
      <c r="I5" s="121"/>
      <c r="J5" s="121"/>
      <c r="K5" s="122"/>
    </row>
    <row r="6" spans="2:11" ht="25" customHeight="1">
      <c r="B6" s="15" t="s">
        <v>7</v>
      </c>
      <c r="C6" s="98" t="s">
        <v>142</v>
      </c>
      <c r="D6" s="98"/>
      <c r="E6" s="98"/>
      <c r="F6" s="98"/>
      <c r="G6" s="98"/>
      <c r="H6" s="98"/>
      <c r="I6" s="98"/>
      <c r="J6" s="98"/>
      <c r="K6" s="99"/>
    </row>
    <row r="7" spans="2:11" ht="25" customHeight="1">
      <c r="B7" s="94" t="s">
        <v>8</v>
      </c>
      <c r="C7" s="95"/>
      <c r="D7" s="95"/>
      <c r="E7" s="95"/>
      <c r="F7" s="95"/>
      <c r="G7" s="95"/>
      <c r="H7" s="95"/>
      <c r="I7" s="95"/>
      <c r="J7" s="95"/>
      <c r="K7" s="96"/>
    </row>
    <row r="8" spans="2:11" ht="150" customHeight="1">
      <c r="B8" s="97" t="s">
        <v>80</v>
      </c>
      <c r="C8" s="98"/>
      <c r="D8" s="98"/>
      <c r="E8" s="98"/>
      <c r="F8" s="98"/>
      <c r="G8" s="98"/>
      <c r="H8" s="98"/>
      <c r="I8" s="98"/>
      <c r="J8" s="98"/>
      <c r="K8" s="99"/>
    </row>
    <row r="9" spans="2:11" ht="25" customHeight="1">
      <c r="B9" s="100" t="s">
        <v>13</v>
      </c>
      <c r="C9" s="75"/>
      <c r="D9" s="82" t="s">
        <v>27</v>
      </c>
      <c r="E9" s="83"/>
      <c r="F9" s="82" t="s">
        <v>16</v>
      </c>
      <c r="G9" s="83"/>
      <c r="H9" s="82" t="s">
        <v>17</v>
      </c>
      <c r="I9" s="83"/>
      <c r="J9" s="82" t="s">
        <v>18</v>
      </c>
      <c r="K9" s="123"/>
    </row>
    <row r="10" spans="2:11" ht="25" customHeight="1">
      <c r="B10" s="101"/>
      <c r="C10" s="77"/>
      <c r="D10" s="82">
        <f>COUNTIF(B13:B14,"&lt;&gt;")</f>
        <v>2</v>
      </c>
      <c r="E10" s="83"/>
      <c r="F10" s="103">
        <f>COUNTIF(F13:F15,"=轻微")</f>
        <v>0</v>
      </c>
      <c r="G10" s="104"/>
      <c r="H10" s="103">
        <f>COUNTIF(F13:F15,"=一般")</f>
        <v>1</v>
      </c>
      <c r="I10" s="104"/>
      <c r="J10" s="103">
        <f>COUNTIF(F13:F15,"=严重")</f>
        <v>1</v>
      </c>
      <c r="K10" s="104"/>
    </row>
    <row r="11" spans="2:11" ht="25" customHeight="1">
      <c r="B11" s="94" t="s">
        <v>14</v>
      </c>
      <c r="C11" s="95"/>
      <c r="D11" s="95"/>
      <c r="E11" s="95"/>
      <c r="F11" s="95"/>
      <c r="G11" s="95"/>
      <c r="H11" s="95"/>
      <c r="I11" s="95"/>
      <c r="J11" s="95"/>
      <c r="K11" s="96"/>
    </row>
    <row r="12" spans="2:11" s="18" customFormat="1" ht="25" customHeight="1">
      <c r="B12" s="17" t="s">
        <v>20</v>
      </c>
      <c r="C12" s="105" t="s">
        <v>19</v>
      </c>
      <c r="D12" s="105"/>
      <c r="E12" s="105"/>
      <c r="F12" s="16" t="s">
        <v>21</v>
      </c>
      <c r="G12" s="16" t="s">
        <v>9</v>
      </c>
      <c r="H12" s="16" t="s">
        <v>10</v>
      </c>
      <c r="I12" s="16" t="s">
        <v>11</v>
      </c>
      <c r="J12" s="105" t="s">
        <v>22</v>
      </c>
      <c r="K12" s="106"/>
    </row>
    <row r="13" spans="2:11" ht="63.5" customHeight="1">
      <c r="B13" s="19">
        <v>1</v>
      </c>
      <c r="C13" s="51" t="s">
        <v>157</v>
      </c>
      <c r="D13" s="52"/>
      <c r="E13" s="53"/>
      <c r="F13" s="20" t="s">
        <v>26</v>
      </c>
      <c r="G13" s="20" t="s">
        <v>73</v>
      </c>
      <c r="H13" s="21" t="s">
        <v>151</v>
      </c>
      <c r="I13" s="21" t="s">
        <v>158</v>
      </c>
      <c r="J13" s="51" t="s">
        <v>159</v>
      </c>
      <c r="K13" s="102"/>
    </row>
    <row r="14" spans="2:11" ht="93" customHeight="1">
      <c r="B14" s="19">
        <v>2</v>
      </c>
      <c r="C14" s="51" t="s">
        <v>156</v>
      </c>
      <c r="D14" s="52"/>
      <c r="E14" s="53"/>
      <c r="F14" s="20" t="s">
        <v>52</v>
      </c>
      <c r="G14" s="20" t="s">
        <v>73</v>
      </c>
      <c r="H14" s="21" t="s">
        <v>151</v>
      </c>
      <c r="I14" s="21" t="s">
        <v>158</v>
      </c>
      <c r="J14" s="51" t="s">
        <v>160</v>
      </c>
      <c r="K14" s="102"/>
    </row>
    <row r="15" spans="2:11" ht="24.75" customHeight="1">
      <c r="B15" s="107" t="s">
        <v>12</v>
      </c>
      <c r="C15" s="108"/>
      <c r="D15" s="108"/>
      <c r="E15" s="108"/>
      <c r="F15" s="108"/>
      <c r="G15" s="108"/>
      <c r="H15" s="108"/>
      <c r="I15" s="108"/>
      <c r="J15" s="108"/>
      <c r="K15" s="109"/>
    </row>
    <row r="16" spans="2:11" ht="94.25" customHeight="1" thickBot="1">
      <c r="B16" s="110" t="s">
        <v>49</v>
      </c>
      <c r="C16" s="111"/>
      <c r="D16" s="111"/>
      <c r="E16" s="111"/>
      <c r="F16" s="111"/>
      <c r="G16" s="111"/>
      <c r="H16" s="111"/>
      <c r="I16" s="111"/>
      <c r="J16" s="111"/>
      <c r="K16" s="112"/>
    </row>
    <row r="17" ht="15" thickTop="1"/>
    <row r="39" spans="9:9">
      <c r="I39" s="22"/>
    </row>
  </sheetData>
  <mergeCells count="30">
    <mergeCell ref="B8:K8"/>
    <mergeCell ref="B1:K1"/>
    <mergeCell ref="B2:K2"/>
    <mergeCell ref="C3:G3"/>
    <mergeCell ref="I3:K3"/>
    <mergeCell ref="B4:E4"/>
    <mergeCell ref="F4:K4"/>
    <mergeCell ref="C5:E5"/>
    <mergeCell ref="F5:G5"/>
    <mergeCell ref="H5:K5"/>
    <mergeCell ref="C6:K6"/>
    <mergeCell ref="B7:K7"/>
    <mergeCell ref="B9:C10"/>
    <mergeCell ref="D9:E9"/>
    <mergeCell ref="F9:G9"/>
    <mergeCell ref="H9:I9"/>
    <mergeCell ref="J9:K9"/>
    <mergeCell ref="D10:E10"/>
    <mergeCell ref="F10:G10"/>
    <mergeCell ref="H10:I10"/>
    <mergeCell ref="J10:K10"/>
    <mergeCell ref="B15:K15"/>
    <mergeCell ref="B16:K16"/>
    <mergeCell ref="B11:K11"/>
    <mergeCell ref="C12:E12"/>
    <mergeCell ref="J12:K12"/>
    <mergeCell ref="C13:E13"/>
    <mergeCell ref="J13:K13"/>
    <mergeCell ref="C14:E14"/>
    <mergeCell ref="J14:K14"/>
  </mergeCells>
  <phoneticPr fontId="1" type="noConversion"/>
  <pageMargins left="0.25" right="0.25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39"/>
  <sheetViews>
    <sheetView view="pageLayout" topLeftCell="A4" zoomScaleNormal="100" workbookViewId="0">
      <selection activeCell="H13" sqref="H13"/>
    </sheetView>
  </sheetViews>
  <sheetFormatPr baseColWidth="10" defaultColWidth="9" defaultRowHeight="14"/>
  <cols>
    <col min="1" max="1" width="1.1640625" style="3" customWidth="1"/>
    <col min="2" max="2" width="9.5" style="3" customWidth="1"/>
    <col min="3" max="3" width="9" style="3"/>
    <col min="4" max="4" width="8" style="3" customWidth="1"/>
    <col min="5" max="5" width="6.6640625" style="3" customWidth="1"/>
    <col min="6" max="6" width="10.6640625" style="3" customWidth="1"/>
    <col min="7" max="7" width="9" style="3"/>
    <col min="8" max="8" width="12.1640625" style="3" customWidth="1"/>
    <col min="9" max="9" width="13.33203125" style="3" customWidth="1"/>
    <col min="10" max="10" width="9" style="3" customWidth="1"/>
    <col min="11" max="11" width="4" style="3" customWidth="1"/>
    <col min="12" max="16384" width="9" style="3"/>
  </cols>
  <sheetData>
    <row r="1" spans="2:11" ht="28.25" customHeight="1">
      <c r="B1" s="59" t="s">
        <v>24</v>
      </c>
      <c r="C1" s="59"/>
      <c r="D1" s="59"/>
      <c r="E1" s="59"/>
      <c r="F1" s="59"/>
      <c r="G1" s="59"/>
      <c r="H1" s="59"/>
      <c r="I1" s="59"/>
      <c r="J1" s="59"/>
      <c r="K1" s="59"/>
    </row>
    <row r="2" spans="2:11" ht="28.25" customHeight="1" thickBot="1">
      <c r="B2" s="63" t="s">
        <v>143</v>
      </c>
      <c r="C2" s="63"/>
      <c r="D2" s="63"/>
      <c r="E2" s="63"/>
      <c r="F2" s="63"/>
      <c r="G2" s="63"/>
      <c r="H2" s="63"/>
      <c r="I2" s="63"/>
      <c r="J2" s="63"/>
      <c r="K2" s="63"/>
    </row>
    <row r="3" spans="2:11" ht="25" customHeight="1" thickTop="1">
      <c r="B3" s="13" t="s">
        <v>2</v>
      </c>
      <c r="C3" s="113" t="s">
        <v>239</v>
      </c>
      <c r="D3" s="114"/>
      <c r="E3" s="114"/>
      <c r="F3" s="114"/>
      <c r="G3" s="115"/>
      <c r="H3" s="14" t="s">
        <v>15</v>
      </c>
      <c r="I3" s="116" t="s">
        <v>67</v>
      </c>
      <c r="J3" s="116"/>
      <c r="K3" s="117"/>
    </row>
    <row r="4" spans="2:11" ht="25" customHeight="1">
      <c r="B4" s="94" t="s">
        <v>5</v>
      </c>
      <c r="C4" s="95"/>
      <c r="D4" s="95"/>
      <c r="E4" s="95"/>
      <c r="F4" s="51" t="s">
        <v>65</v>
      </c>
      <c r="G4" s="52"/>
      <c r="H4" s="52"/>
      <c r="I4" s="52"/>
      <c r="J4" s="52"/>
      <c r="K4" s="102"/>
    </row>
    <row r="5" spans="2:11" ht="25" customHeight="1">
      <c r="B5" s="8" t="s">
        <v>6</v>
      </c>
      <c r="C5" s="103" t="s">
        <v>51</v>
      </c>
      <c r="D5" s="120"/>
      <c r="E5" s="104"/>
      <c r="F5" s="118" t="s">
        <v>45</v>
      </c>
      <c r="G5" s="119"/>
      <c r="H5" s="118">
        <v>45853</v>
      </c>
      <c r="I5" s="121"/>
      <c r="J5" s="121"/>
      <c r="K5" s="122"/>
    </row>
    <row r="6" spans="2:11" ht="25" customHeight="1">
      <c r="B6" s="15" t="s">
        <v>7</v>
      </c>
      <c r="C6" s="98" t="s">
        <v>144</v>
      </c>
      <c r="D6" s="98"/>
      <c r="E6" s="98"/>
      <c r="F6" s="98"/>
      <c r="G6" s="98"/>
      <c r="H6" s="98"/>
      <c r="I6" s="98"/>
      <c r="J6" s="98"/>
      <c r="K6" s="99"/>
    </row>
    <row r="7" spans="2:11" ht="25" customHeight="1">
      <c r="B7" s="94" t="s">
        <v>8</v>
      </c>
      <c r="C7" s="95"/>
      <c r="D7" s="95"/>
      <c r="E7" s="95"/>
      <c r="F7" s="95"/>
      <c r="G7" s="95"/>
      <c r="H7" s="95"/>
      <c r="I7" s="95"/>
      <c r="J7" s="95"/>
      <c r="K7" s="96"/>
    </row>
    <row r="8" spans="2:11" ht="150" customHeight="1">
      <c r="B8" s="97" t="s">
        <v>81</v>
      </c>
      <c r="C8" s="98"/>
      <c r="D8" s="98"/>
      <c r="E8" s="98"/>
      <c r="F8" s="98"/>
      <c r="G8" s="98"/>
      <c r="H8" s="98"/>
      <c r="I8" s="98"/>
      <c r="J8" s="98"/>
      <c r="K8" s="99"/>
    </row>
    <row r="9" spans="2:11" ht="25" customHeight="1">
      <c r="B9" s="100" t="s">
        <v>13</v>
      </c>
      <c r="C9" s="75"/>
      <c r="D9" s="82" t="s">
        <v>27</v>
      </c>
      <c r="E9" s="83"/>
      <c r="F9" s="82" t="s">
        <v>16</v>
      </c>
      <c r="G9" s="83"/>
      <c r="H9" s="82" t="s">
        <v>17</v>
      </c>
      <c r="I9" s="83"/>
      <c r="J9" s="82" t="s">
        <v>18</v>
      </c>
      <c r="K9" s="123"/>
    </row>
    <row r="10" spans="2:11" ht="25" customHeight="1">
      <c r="B10" s="101"/>
      <c r="C10" s="77"/>
      <c r="D10" s="82">
        <f>COUNTIF(B13:B14,"&lt;&gt;")</f>
        <v>2</v>
      </c>
      <c r="E10" s="83"/>
      <c r="F10" s="103">
        <f>COUNTIF(F13:F15,"=轻微")</f>
        <v>0</v>
      </c>
      <c r="G10" s="104"/>
      <c r="H10" s="103">
        <f>COUNTIF(F13:F15,"=一般")</f>
        <v>2</v>
      </c>
      <c r="I10" s="104"/>
      <c r="J10" s="103">
        <f>COUNTIF(F13:F15,"=严重")</f>
        <v>0</v>
      </c>
      <c r="K10" s="104"/>
    </row>
    <row r="11" spans="2:11" ht="25" customHeight="1">
      <c r="B11" s="94" t="s">
        <v>14</v>
      </c>
      <c r="C11" s="95"/>
      <c r="D11" s="95"/>
      <c r="E11" s="95"/>
      <c r="F11" s="95"/>
      <c r="G11" s="95"/>
      <c r="H11" s="95"/>
      <c r="I11" s="95"/>
      <c r="J11" s="95"/>
      <c r="K11" s="96"/>
    </row>
    <row r="12" spans="2:11" s="18" customFormat="1" ht="25" customHeight="1">
      <c r="B12" s="17" t="s">
        <v>20</v>
      </c>
      <c r="C12" s="105" t="s">
        <v>19</v>
      </c>
      <c r="D12" s="105"/>
      <c r="E12" s="105"/>
      <c r="F12" s="16" t="s">
        <v>21</v>
      </c>
      <c r="G12" s="16" t="s">
        <v>9</v>
      </c>
      <c r="H12" s="16" t="s">
        <v>10</v>
      </c>
      <c r="I12" s="16" t="s">
        <v>11</v>
      </c>
      <c r="J12" s="105" t="s">
        <v>22</v>
      </c>
      <c r="K12" s="106"/>
    </row>
    <row r="13" spans="2:11" ht="56.5" customHeight="1">
      <c r="B13" s="19">
        <v>1</v>
      </c>
      <c r="C13" s="51" t="s">
        <v>161</v>
      </c>
      <c r="D13" s="52"/>
      <c r="E13" s="53"/>
      <c r="F13" s="20" t="s">
        <v>52</v>
      </c>
      <c r="G13" s="20" t="s">
        <v>74</v>
      </c>
      <c r="H13" s="21" t="s">
        <v>151</v>
      </c>
      <c r="I13" s="21" t="s">
        <v>158</v>
      </c>
      <c r="J13" s="51" t="s">
        <v>163</v>
      </c>
      <c r="K13" s="102"/>
    </row>
    <row r="14" spans="2:11" ht="92" customHeight="1">
      <c r="B14" s="19">
        <v>2</v>
      </c>
      <c r="C14" s="51" t="s">
        <v>162</v>
      </c>
      <c r="D14" s="52"/>
      <c r="E14" s="53"/>
      <c r="F14" s="20" t="s">
        <v>52</v>
      </c>
      <c r="G14" s="20" t="s">
        <v>74</v>
      </c>
      <c r="H14" s="21" t="s">
        <v>151</v>
      </c>
      <c r="I14" s="21" t="s">
        <v>158</v>
      </c>
      <c r="J14" s="51" t="s">
        <v>164</v>
      </c>
      <c r="K14" s="102"/>
    </row>
    <row r="15" spans="2:11" ht="24.75" customHeight="1">
      <c r="B15" s="107" t="s">
        <v>12</v>
      </c>
      <c r="C15" s="108"/>
      <c r="D15" s="108"/>
      <c r="E15" s="108"/>
      <c r="F15" s="108"/>
      <c r="G15" s="108"/>
      <c r="H15" s="108"/>
      <c r="I15" s="108"/>
      <c r="J15" s="108"/>
      <c r="K15" s="109"/>
    </row>
    <row r="16" spans="2:11" ht="94.25" customHeight="1" thickBot="1">
      <c r="B16" s="110" t="s">
        <v>49</v>
      </c>
      <c r="C16" s="111"/>
      <c r="D16" s="111"/>
      <c r="E16" s="111"/>
      <c r="F16" s="111"/>
      <c r="G16" s="111"/>
      <c r="H16" s="111"/>
      <c r="I16" s="111"/>
      <c r="J16" s="111"/>
      <c r="K16" s="112"/>
    </row>
    <row r="17" ht="15" thickTop="1"/>
    <row r="39" spans="9:9">
      <c r="I39" s="22"/>
    </row>
  </sheetData>
  <mergeCells count="30">
    <mergeCell ref="B8:K8"/>
    <mergeCell ref="B1:K1"/>
    <mergeCell ref="B2:K2"/>
    <mergeCell ref="C3:G3"/>
    <mergeCell ref="I3:K3"/>
    <mergeCell ref="B4:E4"/>
    <mergeCell ref="F4:K4"/>
    <mergeCell ref="C5:E5"/>
    <mergeCell ref="F5:G5"/>
    <mergeCell ref="H5:K5"/>
    <mergeCell ref="C6:K6"/>
    <mergeCell ref="B7:K7"/>
    <mergeCell ref="B9:C10"/>
    <mergeCell ref="D9:E9"/>
    <mergeCell ref="F9:G9"/>
    <mergeCell ref="H9:I9"/>
    <mergeCell ref="J9:K9"/>
    <mergeCell ref="D10:E10"/>
    <mergeCell ref="F10:G10"/>
    <mergeCell ref="H10:I10"/>
    <mergeCell ref="J10:K10"/>
    <mergeCell ref="B15:K15"/>
    <mergeCell ref="B16:K16"/>
    <mergeCell ref="B11:K11"/>
    <mergeCell ref="C12:E12"/>
    <mergeCell ref="J12:K12"/>
    <mergeCell ref="C13:E13"/>
    <mergeCell ref="J13:K13"/>
    <mergeCell ref="C14:E14"/>
    <mergeCell ref="J14:K14"/>
  </mergeCells>
  <phoneticPr fontId="1" type="noConversion"/>
  <pageMargins left="0.25" right="0.25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K40"/>
  <sheetViews>
    <sheetView view="pageLayout" topLeftCell="A4" zoomScaleNormal="100" workbookViewId="0">
      <selection activeCell="H15" sqref="H15"/>
    </sheetView>
  </sheetViews>
  <sheetFormatPr baseColWidth="10" defaultColWidth="9" defaultRowHeight="14"/>
  <cols>
    <col min="1" max="1" width="1.1640625" style="3" customWidth="1"/>
    <col min="2" max="2" width="8.5" style="3" customWidth="1"/>
    <col min="3" max="3" width="9" style="3"/>
    <col min="4" max="4" width="8" style="3" customWidth="1"/>
    <col min="5" max="5" width="6.6640625" style="3" customWidth="1"/>
    <col min="6" max="6" width="10.6640625" style="3" customWidth="1"/>
    <col min="7" max="7" width="9" style="3"/>
    <col min="8" max="8" width="12.1640625" style="3" customWidth="1"/>
    <col min="9" max="9" width="15.1640625" style="3" customWidth="1"/>
    <col min="10" max="10" width="9" style="3" customWidth="1"/>
    <col min="11" max="11" width="3.1640625" style="3" customWidth="1"/>
    <col min="12" max="16384" width="9" style="3"/>
  </cols>
  <sheetData>
    <row r="1" spans="2:11" ht="28.25" customHeight="1">
      <c r="B1" s="59" t="s">
        <v>24</v>
      </c>
      <c r="C1" s="59"/>
      <c r="D1" s="59"/>
      <c r="E1" s="59"/>
      <c r="F1" s="59"/>
      <c r="G1" s="59"/>
      <c r="H1" s="59"/>
      <c r="I1" s="59"/>
      <c r="J1" s="59"/>
      <c r="K1" s="59"/>
    </row>
    <row r="2" spans="2:11" ht="28.25" customHeight="1" thickBot="1">
      <c r="B2" s="63" t="s">
        <v>145</v>
      </c>
      <c r="C2" s="63"/>
      <c r="D2" s="63"/>
      <c r="E2" s="63"/>
      <c r="F2" s="63"/>
      <c r="G2" s="63"/>
      <c r="H2" s="63"/>
      <c r="I2" s="63"/>
      <c r="J2" s="63"/>
      <c r="K2" s="63"/>
    </row>
    <row r="3" spans="2:11" ht="25" customHeight="1" thickTop="1">
      <c r="B3" s="13" t="s">
        <v>2</v>
      </c>
      <c r="C3" s="113" t="s">
        <v>239</v>
      </c>
      <c r="D3" s="114"/>
      <c r="E3" s="114"/>
      <c r="F3" s="114"/>
      <c r="G3" s="115"/>
      <c r="H3" s="14" t="s">
        <v>15</v>
      </c>
      <c r="I3" s="116" t="s">
        <v>67</v>
      </c>
      <c r="J3" s="116"/>
      <c r="K3" s="117"/>
    </row>
    <row r="4" spans="2:11" ht="25" customHeight="1">
      <c r="B4" s="94" t="s">
        <v>5</v>
      </c>
      <c r="C4" s="95"/>
      <c r="D4" s="95"/>
      <c r="E4" s="95"/>
      <c r="F4" s="51" t="s">
        <v>66</v>
      </c>
      <c r="G4" s="52"/>
      <c r="H4" s="52"/>
      <c r="I4" s="52"/>
      <c r="J4" s="52"/>
      <c r="K4" s="102"/>
    </row>
    <row r="5" spans="2:11" ht="25" customHeight="1">
      <c r="B5" s="8" t="s">
        <v>6</v>
      </c>
      <c r="C5" s="103" t="s">
        <v>51</v>
      </c>
      <c r="D5" s="120"/>
      <c r="E5" s="104"/>
      <c r="F5" s="118" t="s">
        <v>45</v>
      </c>
      <c r="G5" s="119"/>
      <c r="H5" s="118">
        <v>45853</v>
      </c>
      <c r="I5" s="121"/>
      <c r="J5" s="121"/>
      <c r="K5" s="122"/>
    </row>
    <row r="6" spans="2:11" ht="25" customHeight="1">
      <c r="B6" s="15" t="s">
        <v>7</v>
      </c>
      <c r="C6" s="98" t="s">
        <v>146</v>
      </c>
      <c r="D6" s="98"/>
      <c r="E6" s="98"/>
      <c r="F6" s="98"/>
      <c r="G6" s="98"/>
      <c r="H6" s="98"/>
      <c r="I6" s="98"/>
      <c r="J6" s="98"/>
      <c r="K6" s="99"/>
    </row>
    <row r="7" spans="2:11" ht="25" customHeight="1">
      <c r="B7" s="94" t="s">
        <v>8</v>
      </c>
      <c r="C7" s="95"/>
      <c r="D7" s="95"/>
      <c r="E7" s="95"/>
      <c r="F7" s="95"/>
      <c r="G7" s="95"/>
      <c r="H7" s="95"/>
      <c r="I7" s="95"/>
      <c r="J7" s="95"/>
      <c r="K7" s="96"/>
    </row>
    <row r="8" spans="2:11" ht="128.5" customHeight="1">
      <c r="B8" s="97" t="s">
        <v>221</v>
      </c>
      <c r="C8" s="98"/>
      <c r="D8" s="98"/>
      <c r="E8" s="98"/>
      <c r="F8" s="98"/>
      <c r="G8" s="98"/>
      <c r="H8" s="98"/>
      <c r="I8" s="98"/>
      <c r="J8" s="98"/>
      <c r="K8" s="99"/>
    </row>
    <row r="9" spans="2:11" ht="25" customHeight="1">
      <c r="B9" s="100" t="s">
        <v>13</v>
      </c>
      <c r="C9" s="75"/>
      <c r="D9" s="82" t="s">
        <v>27</v>
      </c>
      <c r="E9" s="83"/>
      <c r="F9" s="82" t="s">
        <v>16</v>
      </c>
      <c r="G9" s="83"/>
      <c r="H9" s="82" t="s">
        <v>17</v>
      </c>
      <c r="I9" s="83"/>
      <c r="J9" s="82" t="s">
        <v>18</v>
      </c>
      <c r="K9" s="123"/>
    </row>
    <row r="10" spans="2:11" ht="25" customHeight="1">
      <c r="B10" s="101"/>
      <c r="C10" s="77"/>
      <c r="D10" s="82">
        <f>COUNTIF(B13:B15,"&lt;&gt;")</f>
        <v>2</v>
      </c>
      <c r="E10" s="83"/>
      <c r="F10" s="103">
        <f>COUNTIF(F13:F16,"=轻微")</f>
        <v>0</v>
      </c>
      <c r="G10" s="104"/>
      <c r="H10" s="103">
        <f>COUNTIF(F13:F16,"=一般")</f>
        <v>2</v>
      </c>
      <c r="I10" s="104"/>
      <c r="J10" s="103">
        <f>COUNTIF(F13:F16,"=严重")</f>
        <v>0</v>
      </c>
      <c r="K10" s="104"/>
    </row>
    <row r="11" spans="2:11" ht="25" customHeight="1">
      <c r="B11" s="94" t="s">
        <v>14</v>
      </c>
      <c r="C11" s="95"/>
      <c r="D11" s="95"/>
      <c r="E11" s="95"/>
      <c r="F11" s="95"/>
      <c r="G11" s="95"/>
      <c r="H11" s="95"/>
      <c r="I11" s="95"/>
      <c r="J11" s="95"/>
      <c r="K11" s="96"/>
    </row>
    <row r="12" spans="2:11" s="18" customFormat="1" ht="25" customHeight="1">
      <c r="B12" s="17" t="s">
        <v>20</v>
      </c>
      <c r="C12" s="105" t="s">
        <v>19</v>
      </c>
      <c r="D12" s="105"/>
      <c r="E12" s="105"/>
      <c r="F12" s="16" t="s">
        <v>21</v>
      </c>
      <c r="G12" s="16" t="s">
        <v>9</v>
      </c>
      <c r="H12" s="16" t="s">
        <v>10</v>
      </c>
      <c r="I12" s="16" t="s">
        <v>11</v>
      </c>
      <c r="J12" s="105" t="s">
        <v>22</v>
      </c>
      <c r="K12" s="106"/>
    </row>
    <row r="13" spans="2:11" ht="59.5" customHeight="1">
      <c r="B13" s="19">
        <v>1</v>
      </c>
      <c r="C13" s="51" t="s">
        <v>165</v>
      </c>
      <c r="D13" s="52"/>
      <c r="E13" s="53"/>
      <c r="F13" s="20" t="s">
        <v>52</v>
      </c>
      <c r="G13" s="20" t="s">
        <v>150</v>
      </c>
      <c r="H13" s="21" t="s">
        <v>151</v>
      </c>
      <c r="I13" s="21" t="s">
        <v>158</v>
      </c>
      <c r="J13" s="51" t="s">
        <v>167</v>
      </c>
      <c r="K13" s="102"/>
    </row>
    <row r="14" spans="2:11" ht="55.25" customHeight="1">
      <c r="B14" s="19">
        <v>2</v>
      </c>
      <c r="C14" s="51" t="s">
        <v>166</v>
      </c>
      <c r="D14" s="52"/>
      <c r="E14" s="53"/>
      <c r="F14" s="20" t="s">
        <v>71</v>
      </c>
      <c r="G14" s="20" t="s">
        <v>150</v>
      </c>
      <c r="H14" s="21" t="s">
        <v>151</v>
      </c>
      <c r="I14" s="21" t="s">
        <v>158</v>
      </c>
      <c r="J14" s="51" t="s">
        <v>168</v>
      </c>
      <c r="K14" s="102"/>
    </row>
    <row r="15" spans="2:11" ht="55.25" customHeight="1">
      <c r="B15" s="19"/>
      <c r="C15" s="51"/>
      <c r="D15" s="52"/>
      <c r="E15" s="53"/>
      <c r="F15" s="20"/>
      <c r="G15" s="20"/>
      <c r="H15" s="21"/>
      <c r="I15" s="21"/>
      <c r="J15" s="51"/>
      <c r="K15" s="102"/>
    </row>
    <row r="16" spans="2:11" ht="24.75" customHeight="1">
      <c r="B16" s="107" t="s">
        <v>12</v>
      </c>
      <c r="C16" s="108"/>
      <c r="D16" s="108"/>
      <c r="E16" s="108"/>
      <c r="F16" s="108"/>
      <c r="G16" s="108"/>
      <c r="H16" s="108"/>
      <c r="I16" s="108"/>
      <c r="J16" s="108"/>
      <c r="K16" s="109"/>
    </row>
    <row r="17" spans="2:11" ht="94.25" customHeight="1" thickBot="1">
      <c r="B17" s="110" t="s">
        <v>49</v>
      </c>
      <c r="C17" s="111"/>
      <c r="D17" s="111"/>
      <c r="E17" s="111"/>
      <c r="F17" s="111"/>
      <c r="G17" s="111"/>
      <c r="H17" s="111"/>
      <c r="I17" s="111"/>
      <c r="J17" s="111"/>
      <c r="K17" s="112"/>
    </row>
    <row r="18" spans="2:11" ht="15" thickTop="1"/>
    <row r="40" spans="9:9">
      <c r="I40" s="22"/>
    </row>
  </sheetData>
  <mergeCells count="32">
    <mergeCell ref="B8:K8"/>
    <mergeCell ref="B1:K1"/>
    <mergeCell ref="B2:K2"/>
    <mergeCell ref="C3:G3"/>
    <mergeCell ref="I3:K3"/>
    <mergeCell ref="B4:E4"/>
    <mergeCell ref="F4:K4"/>
    <mergeCell ref="C5:E5"/>
    <mergeCell ref="F5:G5"/>
    <mergeCell ref="H5:K5"/>
    <mergeCell ref="C6:K6"/>
    <mergeCell ref="B7:K7"/>
    <mergeCell ref="B9:C10"/>
    <mergeCell ref="D9:E9"/>
    <mergeCell ref="F9:G9"/>
    <mergeCell ref="H9:I9"/>
    <mergeCell ref="J9:K9"/>
    <mergeCell ref="D10:E10"/>
    <mergeCell ref="F10:G10"/>
    <mergeCell ref="H10:I10"/>
    <mergeCell ref="J10:K10"/>
    <mergeCell ref="C15:E15"/>
    <mergeCell ref="J15:K15"/>
    <mergeCell ref="B16:K16"/>
    <mergeCell ref="B17:K17"/>
    <mergeCell ref="B11:K11"/>
    <mergeCell ref="C12:E12"/>
    <mergeCell ref="J12:K12"/>
    <mergeCell ref="C13:E13"/>
    <mergeCell ref="J13:K13"/>
    <mergeCell ref="C14:E14"/>
    <mergeCell ref="J14:K14"/>
  </mergeCells>
  <phoneticPr fontId="1" type="noConversion"/>
  <pageMargins left="0.25" right="0.25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K39"/>
  <sheetViews>
    <sheetView view="pageLayout" zoomScale="106" zoomScaleNormal="100" zoomScalePageLayoutView="106" workbookViewId="0">
      <selection activeCell="B16" sqref="B16:K16"/>
    </sheetView>
  </sheetViews>
  <sheetFormatPr baseColWidth="10" defaultColWidth="9" defaultRowHeight="14"/>
  <cols>
    <col min="1" max="1" width="1.1640625" style="1" customWidth="1"/>
    <col min="2" max="2" width="8.83203125" style="1" customWidth="1"/>
    <col min="3" max="4" width="9" style="1"/>
    <col min="5" max="5" width="5.5" style="1" customWidth="1"/>
    <col min="6" max="7" width="9" style="1"/>
    <col min="8" max="8" width="12.1640625" style="1" customWidth="1"/>
    <col min="9" max="9" width="13" style="1" customWidth="1"/>
    <col min="10" max="10" width="9" style="1" customWidth="1"/>
    <col min="11" max="11" width="6" style="1" customWidth="1"/>
    <col min="12" max="16384" width="9" style="1"/>
  </cols>
  <sheetData>
    <row r="1" spans="2:11" ht="28.25" customHeight="1">
      <c r="B1" s="141" t="s">
        <v>24</v>
      </c>
      <c r="C1" s="141"/>
      <c r="D1" s="141"/>
      <c r="E1" s="141"/>
      <c r="F1" s="141"/>
      <c r="G1" s="141"/>
      <c r="H1" s="141"/>
      <c r="I1" s="141"/>
      <c r="J1" s="141"/>
      <c r="K1" s="141"/>
    </row>
    <row r="2" spans="2:11" ht="28.25" customHeight="1" thickBot="1">
      <c r="B2" s="142" t="s">
        <v>147</v>
      </c>
      <c r="C2" s="142"/>
      <c r="D2" s="142"/>
      <c r="E2" s="142"/>
      <c r="F2" s="142"/>
      <c r="G2" s="142"/>
      <c r="H2" s="142"/>
      <c r="I2" s="142"/>
      <c r="J2" s="142"/>
      <c r="K2" s="142"/>
    </row>
    <row r="3" spans="2:11" ht="25" customHeight="1" thickTop="1">
      <c r="B3" s="9" t="s">
        <v>0</v>
      </c>
      <c r="C3" s="143" t="s">
        <v>239</v>
      </c>
      <c r="D3" s="144"/>
      <c r="E3" s="144"/>
      <c r="F3" s="144"/>
      <c r="G3" s="145"/>
      <c r="H3" s="7" t="s">
        <v>15</v>
      </c>
      <c r="I3" s="146" t="s">
        <v>67</v>
      </c>
      <c r="J3" s="146"/>
      <c r="K3" s="147"/>
    </row>
    <row r="4" spans="2:11" ht="25" customHeight="1">
      <c r="B4" s="107" t="s">
        <v>5</v>
      </c>
      <c r="C4" s="108"/>
      <c r="D4" s="108"/>
      <c r="E4" s="108"/>
      <c r="F4" s="124" t="s">
        <v>68</v>
      </c>
      <c r="G4" s="148"/>
      <c r="H4" s="148"/>
      <c r="I4" s="148"/>
      <c r="J4" s="148"/>
      <c r="K4" s="125"/>
    </row>
    <row r="5" spans="2:11" ht="25" customHeight="1">
      <c r="B5" s="8" t="s">
        <v>6</v>
      </c>
      <c r="C5" s="103" t="s">
        <v>51</v>
      </c>
      <c r="D5" s="120"/>
      <c r="E5" s="104"/>
      <c r="F5" s="149" t="s">
        <v>43</v>
      </c>
      <c r="G5" s="149"/>
      <c r="H5" s="118">
        <v>45854</v>
      </c>
      <c r="I5" s="121"/>
      <c r="J5" s="121"/>
      <c r="K5" s="122"/>
    </row>
    <row r="6" spans="2:11" ht="25" customHeight="1">
      <c r="B6" s="8" t="s">
        <v>7</v>
      </c>
      <c r="C6" s="139" t="s">
        <v>148</v>
      </c>
      <c r="D6" s="139"/>
      <c r="E6" s="139"/>
      <c r="F6" s="139"/>
      <c r="G6" s="139"/>
      <c r="H6" s="139"/>
      <c r="I6" s="139"/>
      <c r="J6" s="139"/>
      <c r="K6" s="140"/>
    </row>
    <row r="7" spans="2:11" ht="25" customHeight="1">
      <c r="B7" s="107" t="s">
        <v>8</v>
      </c>
      <c r="C7" s="108"/>
      <c r="D7" s="108"/>
      <c r="E7" s="108"/>
      <c r="F7" s="108"/>
      <c r="G7" s="108"/>
      <c r="H7" s="108"/>
      <c r="I7" s="108"/>
      <c r="J7" s="108"/>
      <c r="K7" s="109"/>
    </row>
    <row r="8" spans="2:11" ht="150" customHeight="1">
      <c r="B8" s="97" t="s">
        <v>82</v>
      </c>
      <c r="C8" s="139"/>
      <c r="D8" s="139"/>
      <c r="E8" s="139"/>
      <c r="F8" s="139"/>
      <c r="G8" s="139"/>
      <c r="H8" s="139"/>
      <c r="I8" s="139"/>
      <c r="J8" s="139"/>
      <c r="K8" s="140"/>
    </row>
    <row r="9" spans="2:11" ht="25" customHeight="1">
      <c r="B9" s="130" t="s">
        <v>13</v>
      </c>
      <c r="C9" s="131"/>
      <c r="D9" s="134" t="s">
        <v>27</v>
      </c>
      <c r="E9" s="135"/>
      <c r="F9" s="128" t="s">
        <v>16</v>
      </c>
      <c r="G9" s="128"/>
      <c r="H9" s="134" t="s">
        <v>17</v>
      </c>
      <c r="I9" s="135"/>
      <c r="J9" s="134" t="s">
        <v>18</v>
      </c>
      <c r="K9" s="136"/>
    </row>
    <row r="10" spans="2:11" ht="25" customHeight="1">
      <c r="B10" s="132"/>
      <c r="C10" s="133"/>
      <c r="D10" s="134">
        <f>COUNTIF(B13:B15,"&lt;&gt;")</f>
        <v>0</v>
      </c>
      <c r="E10" s="135"/>
      <c r="F10" s="137">
        <f>COUNTIF(F13:F17,"=轻微")</f>
        <v>0</v>
      </c>
      <c r="G10" s="137"/>
      <c r="H10" s="103">
        <f>COUNTIF(F13:F17,"=一般")</f>
        <v>0</v>
      </c>
      <c r="I10" s="104"/>
      <c r="J10" s="103">
        <f>COUNTIF(F13:F17,"=严重")</f>
        <v>0</v>
      </c>
      <c r="K10" s="138"/>
    </row>
    <row r="11" spans="2:11" ht="25" customHeight="1">
      <c r="B11" s="107" t="s">
        <v>14</v>
      </c>
      <c r="C11" s="108"/>
      <c r="D11" s="108"/>
      <c r="E11" s="108"/>
      <c r="F11" s="108"/>
      <c r="G11" s="108"/>
      <c r="H11" s="108"/>
      <c r="I11" s="108"/>
      <c r="J11" s="108"/>
      <c r="K11" s="109"/>
    </row>
    <row r="12" spans="2:11" s="4" customFormat="1" ht="25" customHeight="1">
      <c r="B12" s="5" t="s">
        <v>20</v>
      </c>
      <c r="C12" s="128" t="s">
        <v>19</v>
      </c>
      <c r="D12" s="128"/>
      <c r="E12" s="128"/>
      <c r="F12" s="6" t="s">
        <v>21</v>
      </c>
      <c r="G12" s="6" t="s">
        <v>9</v>
      </c>
      <c r="H12" s="6" t="s">
        <v>10</v>
      </c>
      <c r="I12" s="6" t="s">
        <v>11</v>
      </c>
      <c r="J12" s="128" t="s">
        <v>22</v>
      </c>
      <c r="K12" s="129"/>
    </row>
    <row r="13" spans="2:11" ht="50.25" customHeight="1">
      <c r="B13" s="10"/>
      <c r="C13" s="51"/>
      <c r="D13" s="52"/>
      <c r="E13" s="53"/>
      <c r="F13" s="2"/>
      <c r="G13" s="2"/>
      <c r="H13" s="12"/>
      <c r="I13" s="12"/>
      <c r="J13" s="51"/>
      <c r="K13" s="102"/>
    </row>
    <row r="14" spans="2:11" ht="67.5" customHeight="1">
      <c r="B14" s="10"/>
      <c r="C14" s="51"/>
      <c r="D14" s="52"/>
      <c r="E14" s="53"/>
      <c r="F14" s="2"/>
      <c r="G14" s="2"/>
      <c r="H14" s="12"/>
      <c r="I14" s="12"/>
      <c r="J14" s="51"/>
      <c r="K14" s="102"/>
    </row>
    <row r="15" spans="2:11" ht="28.25" customHeight="1">
      <c r="B15" s="10"/>
      <c r="C15" s="103"/>
      <c r="D15" s="120"/>
      <c r="E15" s="104"/>
      <c r="F15" s="2"/>
      <c r="G15" s="2"/>
      <c r="H15" s="2"/>
      <c r="I15" s="2"/>
      <c r="J15" s="124"/>
      <c r="K15" s="125"/>
    </row>
    <row r="16" spans="2:11" ht="28.25" customHeight="1">
      <c r="B16" s="107" t="s">
        <v>12</v>
      </c>
      <c r="C16" s="108"/>
      <c r="D16" s="108"/>
      <c r="E16" s="108"/>
      <c r="F16" s="108"/>
      <c r="G16" s="108"/>
      <c r="H16" s="108"/>
      <c r="I16" s="108"/>
      <c r="J16" s="108"/>
      <c r="K16" s="109"/>
    </row>
    <row r="17" spans="2:11" ht="72" customHeight="1" thickBot="1">
      <c r="B17" s="110" t="s">
        <v>58</v>
      </c>
      <c r="C17" s="126"/>
      <c r="D17" s="126"/>
      <c r="E17" s="126"/>
      <c r="F17" s="126"/>
      <c r="G17" s="126"/>
      <c r="H17" s="126"/>
      <c r="I17" s="126"/>
      <c r="J17" s="126"/>
      <c r="K17" s="127"/>
    </row>
    <row r="18" spans="2:11" ht="15" thickTop="1"/>
    <row r="39" spans="9:9">
      <c r="I39" s="11"/>
    </row>
  </sheetData>
  <mergeCells count="32">
    <mergeCell ref="B8:K8"/>
    <mergeCell ref="B1:K1"/>
    <mergeCell ref="B2:K2"/>
    <mergeCell ref="C3:G3"/>
    <mergeCell ref="I3:K3"/>
    <mergeCell ref="B4:E4"/>
    <mergeCell ref="F4:K4"/>
    <mergeCell ref="C5:E5"/>
    <mergeCell ref="F5:G5"/>
    <mergeCell ref="H5:K5"/>
    <mergeCell ref="C6:K6"/>
    <mergeCell ref="B7:K7"/>
    <mergeCell ref="B9:C10"/>
    <mergeCell ref="D9:E9"/>
    <mergeCell ref="F9:G9"/>
    <mergeCell ref="H9:I9"/>
    <mergeCell ref="J9:K9"/>
    <mergeCell ref="D10:E10"/>
    <mergeCell ref="F10:G10"/>
    <mergeCell ref="H10:I10"/>
    <mergeCell ref="J10:K10"/>
    <mergeCell ref="C15:E15"/>
    <mergeCell ref="J15:K15"/>
    <mergeCell ref="B16:K16"/>
    <mergeCell ref="B17:K17"/>
    <mergeCell ref="B11:K11"/>
    <mergeCell ref="C12:E12"/>
    <mergeCell ref="J12:K12"/>
    <mergeCell ref="C13:E13"/>
    <mergeCell ref="J13:K13"/>
    <mergeCell ref="C14:E14"/>
    <mergeCell ref="J14:K14"/>
  </mergeCells>
  <phoneticPr fontId="1" type="noConversion"/>
  <pageMargins left="0.25" right="0.25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38"/>
  <sheetViews>
    <sheetView view="pageLayout" zoomScaleNormal="100" workbookViewId="0">
      <selection activeCell="B15" sqref="B15:K15"/>
    </sheetView>
  </sheetViews>
  <sheetFormatPr baseColWidth="10" defaultColWidth="9" defaultRowHeight="14"/>
  <cols>
    <col min="1" max="1" width="1.1640625" style="1" customWidth="1"/>
    <col min="2" max="2" width="9" style="1" customWidth="1"/>
    <col min="3" max="4" width="9" style="1"/>
    <col min="5" max="5" width="5.6640625" style="1" customWidth="1"/>
    <col min="6" max="6" width="9" style="1"/>
    <col min="7" max="7" width="7.5" style="1" customWidth="1"/>
    <col min="8" max="8" width="9.5" style="1" customWidth="1"/>
    <col min="9" max="9" width="13" style="1" customWidth="1"/>
    <col min="10" max="10" width="9" style="1" customWidth="1"/>
    <col min="11" max="16384" width="9" style="1"/>
  </cols>
  <sheetData>
    <row r="1" spans="2:11" ht="28.25" customHeight="1">
      <c r="B1" s="141" t="s">
        <v>24</v>
      </c>
      <c r="C1" s="141"/>
      <c r="D1" s="141"/>
      <c r="E1" s="141"/>
      <c r="F1" s="141"/>
      <c r="G1" s="141"/>
      <c r="H1" s="141"/>
      <c r="I1" s="141"/>
      <c r="J1" s="141"/>
      <c r="K1" s="141"/>
    </row>
    <row r="2" spans="2:11" ht="28.25" customHeight="1" thickBot="1">
      <c r="B2" s="142" t="s">
        <v>169</v>
      </c>
      <c r="C2" s="142"/>
      <c r="D2" s="142"/>
      <c r="E2" s="142"/>
      <c r="F2" s="142"/>
      <c r="G2" s="142"/>
      <c r="H2" s="142"/>
      <c r="I2" s="142"/>
      <c r="J2" s="142"/>
      <c r="K2" s="142"/>
    </row>
    <row r="3" spans="2:11" ht="25" customHeight="1" thickTop="1">
      <c r="B3" s="9" t="s">
        <v>0</v>
      </c>
      <c r="C3" s="143" t="s">
        <v>239</v>
      </c>
      <c r="D3" s="144"/>
      <c r="E3" s="144"/>
      <c r="F3" s="144"/>
      <c r="G3" s="145"/>
      <c r="H3" s="7" t="s">
        <v>15</v>
      </c>
      <c r="I3" s="146" t="s">
        <v>67</v>
      </c>
      <c r="J3" s="146"/>
      <c r="K3" s="147"/>
    </row>
    <row r="4" spans="2:11" ht="25" customHeight="1">
      <c r="B4" s="107" t="s">
        <v>5</v>
      </c>
      <c r="C4" s="108"/>
      <c r="D4" s="108"/>
      <c r="E4" s="108"/>
      <c r="F4" s="124" t="s">
        <v>75</v>
      </c>
      <c r="G4" s="148"/>
      <c r="H4" s="148"/>
      <c r="I4" s="148"/>
      <c r="J4" s="148"/>
      <c r="K4" s="125"/>
    </row>
    <row r="5" spans="2:11" ht="25" customHeight="1">
      <c r="B5" s="8" t="s">
        <v>6</v>
      </c>
      <c r="C5" s="103" t="s">
        <v>51</v>
      </c>
      <c r="D5" s="120"/>
      <c r="E5" s="104"/>
      <c r="F5" s="118" t="s">
        <v>43</v>
      </c>
      <c r="G5" s="119"/>
      <c r="H5" s="118">
        <v>45861</v>
      </c>
      <c r="I5" s="121"/>
      <c r="J5" s="121"/>
      <c r="K5" s="122"/>
    </row>
    <row r="6" spans="2:11" ht="25" customHeight="1">
      <c r="B6" s="8" t="s">
        <v>7</v>
      </c>
      <c r="C6" s="139" t="s">
        <v>170</v>
      </c>
      <c r="D6" s="139"/>
      <c r="E6" s="139"/>
      <c r="F6" s="139"/>
      <c r="G6" s="139"/>
      <c r="H6" s="139"/>
      <c r="I6" s="139"/>
      <c r="J6" s="139"/>
      <c r="K6" s="140"/>
    </row>
    <row r="7" spans="2:11" ht="25" customHeight="1">
      <c r="B7" s="107" t="s">
        <v>8</v>
      </c>
      <c r="C7" s="108"/>
      <c r="D7" s="108"/>
      <c r="E7" s="108"/>
      <c r="F7" s="108"/>
      <c r="G7" s="108"/>
      <c r="H7" s="108"/>
      <c r="I7" s="108"/>
      <c r="J7" s="108"/>
      <c r="K7" s="109"/>
    </row>
    <row r="8" spans="2:11" ht="150" customHeight="1">
      <c r="B8" s="97" t="s">
        <v>172</v>
      </c>
      <c r="C8" s="139"/>
      <c r="D8" s="139"/>
      <c r="E8" s="139"/>
      <c r="F8" s="139"/>
      <c r="G8" s="139"/>
      <c r="H8" s="139"/>
      <c r="I8" s="139"/>
      <c r="J8" s="139"/>
      <c r="K8" s="140"/>
    </row>
    <row r="9" spans="2:11" ht="25" customHeight="1">
      <c r="B9" s="130" t="s">
        <v>13</v>
      </c>
      <c r="C9" s="131"/>
      <c r="D9" s="134" t="s">
        <v>27</v>
      </c>
      <c r="E9" s="135"/>
      <c r="F9" s="134" t="s">
        <v>16</v>
      </c>
      <c r="G9" s="135"/>
      <c r="H9" s="134" t="s">
        <v>17</v>
      </c>
      <c r="I9" s="135"/>
      <c r="J9" s="134" t="s">
        <v>18</v>
      </c>
      <c r="K9" s="136"/>
    </row>
    <row r="10" spans="2:11" ht="25" customHeight="1">
      <c r="B10" s="132"/>
      <c r="C10" s="133"/>
      <c r="D10" s="134">
        <f>COUNTIF(B13:B14,"&lt;&gt;")</f>
        <v>0</v>
      </c>
      <c r="E10" s="135"/>
      <c r="F10" s="103">
        <f>COUNTIF(F13:F16,"=轻微")</f>
        <v>0</v>
      </c>
      <c r="G10" s="104"/>
      <c r="H10" s="103">
        <f>COUNTIF(F13:F16,"=一般")</f>
        <v>0</v>
      </c>
      <c r="I10" s="104"/>
      <c r="J10" s="103">
        <f>COUNTIF(F13:F16,"=严重")</f>
        <v>0</v>
      </c>
      <c r="K10" s="138"/>
    </row>
    <row r="11" spans="2:11" ht="25" customHeight="1">
      <c r="B11" s="107" t="s">
        <v>14</v>
      </c>
      <c r="C11" s="108"/>
      <c r="D11" s="108"/>
      <c r="E11" s="108"/>
      <c r="F11" s="108"/>
      <c r="G11" s="108"/>
      <c r="H11" s="108"/>
      <c r="I11" s="108"/>
      <c r="J11" s="108"/>
      <c r="K11" s="109"/>
    </row>
    <row r="12" spans="2:11" s="4" customFormat="1" ht="25" customHeight="1">
      <c r="B12" s="5" t="s">
        <v>20</v>
      </c>
      <c r="C12" s="128" t="s">
        <v>19</v>
      </c>
      <c r="D12" s="128"/>
      <c r="E12" s="128"/>
      <c r="F12" s="6" t="s">
        <v>21</v>
      </c>
      <c r="G12" s="6" t="s">
        <v>9</v>
      </c>
      <c r="H12" s="6" t="s">
        <v>10</v>
      </c>
      <c r="I12" s="6" t="s">
        <v>11</v>
      </c>
      <c r="J12" s="128" t="s">
        <v>22</v>
      </c>
      <c r="K12" s="129"/>
    </row>
    <row r="13" spans="2:11" ht="50.25" customHeight="1">
      <c r="B13" s="10"/>
      <c r="C13" s="51"/>
      <c r="D13" s="52"/>
      <c r="E13" s="53"/>
      <c r="F13" s="2"/>
      <c r="G13" s="2"/>
      <c r="H13" s="12"/>
      <c r="I13" s="12"/>
      <c r="J13" s="51"/>
      <c r="K13" s="102"/>
    </row>
    <row r="14" spans="2:11" ht="28.25" customHeight="1">
      <c r="B14" s="10"/>
      <c r="C14" s="103"/>
      <c r="D14" s="120"/>
      <c r="E14" s="104"/>
      <c r="F14" s="2"/>
      <c r="G14" s="2"/>
      <c r="H14" s="2"/>
      <c r="I14" s="2"/>
      <c r="J14" s="124"/>
      <c r="K14" s="125"/>
    </row>
    <row r="15" spans="2:11" ht="28.25" customHeight="1">
      <c r="B15" s="107" t="s">
        <v>12</v>
      </c>
      <c r="C15" s="108"/>
      <c r="D15" s="108"/>
      <c r="E15" s="108"/>
      <c r="F15" s="108"/>
      <c r="G15" s="108"/>
      <c r="H15" s="108"/>
      <c r="I15" s="108"/>
      <c r="J15" s="108"/>
      <c r="K15" s="109"/>
    </row>
    <row r="16" spans="2:11" ht="72" customHeight="1" thickBot="1">
      <c r="B16" s="110" t="s">
        <v>171</v>
      </c>
      <c r="C16" s="126"/>
      <c r="D16" s="126"/>
      <c r="E16" s="126"/>
      <c r="F16" s="126"/>
      <c r="G16" s="126"/>
      <c r="H16" s="126"/>
      <c r="I16" s="126"/>
      <c r="J16" s="126"/>
      <c r="K16" s="127"/>
    </row>
    <row r="17" ht="15" thickTop="1"/>
    <row r="38" spans="9:9">
      <c r="I38" s="11"/>
    </row>
  </sheetData>
  <mergeCells count="30">
    <mergeCell ref="B15:K15"/>
    <mergeCell ref="B16:K16"/>
    <mergeCell ref="B11:K11"/>
    <mergeCell ref="C12:E12"/>
    <mergeCell ref="J12:K12"/>
    <mergeCell ref="C13:E13"/>
    <mergeCell ref="J13:K13"/>
    <mergeCell ref="C14:E14"/>
    <mergeCell ref="J14:K14"/>
    <mergeCell ref="B9:C10"/>
    <mergeCell ref="D9:E9"/>
    <mergeCell ref="F9:G9"/>
    <mergeCell ref="H9:I9"/>
    <mergeCell ref="J9:K9"/>
    <mergeCell ref="D10:E10"/>
    <mergeCell ref="F10:G10"/>
    <mergeCell ref="H10:I10"/>
    <mergeCell ref="J10:K10"/>
    <mergeCell ref="B8:K8"/>
    <mergeCell ref="B1:K1"/>
    <mergeCell ref="B2:K2"/>
    <mergeCell ref="C3:G3"/>
    <mergeCell ref="I3:K3"/>
    <mergeCell ref="B4:E4"/>
    <mergeCell ref="F4:K4"/>
    <mergeCell ref="C5:E5"/>
    <mergeCell ref="F5:G5"/>
    <mergeCell ref="H5:K5"/>
    <mergeCell ref="C6:K6"/>
    <mergeCell ref="B7:K7"/>
  </mergeCells>
  <phoneticPr fontId="1" type="noConversion"/>
  <pageMargins left="0.25" right="0.25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K39"/>
  <sheetViews>
    <sheetView view="pageLayout" zoomScale="114" zoomScaleNormal="100" zoomScalePageLayoutView="114" workbookViewId="0">
      <selection activeCell="B8" sqref="B8:K8"/>
    </sheetView>
  </sheetViews>
  <sheetFormatPr baseColWidth="10" defaultColWidth="9" defaultRowHeight="14"/>
  <cols>
    <col min="1" max="1" width="1.1640625" style="1" customWidth="1"/>
    <col min="2" max="2" width="9" style="1" customWidth="1"/>
    <col min="3" max="4" width="9" style="1"/>
    <col min="5" max="5" width="5.33203125" style="1" customWidth="1"/>
    <col min="6" max="6" width="9" style="1" customWidth="1"/>
    <col min="7" max="7" width="9" style="1"/>
    <col min="8" max="8" width="12.1640625" style="1" customWidth="1"/>
    <col min="9" max="9" width="13" style="1" customWidth="1"/>
    <col min="10" max="10" width="9" style="1" customWidth="1"/>
    <col min="11" max="11" width="3.6640625" style="1" customWidth="1"/>
    <col min="12" max="16384" width="9" style="1"/>
  </cols>
  <sheetData>
    <row r="1" spans="2:11" ht="28.25" customHeight="1">
      <c r="B1" s="141" t="s">
        <v>24</v>
      </c>
      <c r="C1" s="141"/>
      <c r="D1" s="141"/>
      <c r="E1" s="141"/>
      <c r="F1" s="141"/>
      <c r="G1" s="141"/>
      <c r="H1" s="141"/>
      <c r="I1" s="141"/>
      <c r="J1" s="141"/>
      <c r="K1" s="141"/>
    </row>
    <row r="2" spans="2:11" ht="28.25" customHeight="1" thickBot="1">
      <c r="B2" s="142" t="s">
        <v>149</v>
      </c>
      <c r="C2" s="142"/>
      <c r="D2" s="142"/>
      <c r="E2" s="142"/>
      <c r="F2" s="142"/>
      <c r="G2" s="142"/>
      <c r="H2" s="142"/>
      <c r="I2" s="142"/>
      <c r="J2" s="142"/>
      <c r="K2" s="142"/>
    </row>
    <row r="3" spans="2:11" ht="25" customHeight="1" thickTop="1">
      <c r="B3" s="9" t="s">
        <v>0</v>
      </c>
      <c r="C3" s="143" t="s">
        <v>239</v>
      </c>
      <c r="D3" s="144"/>
      <c r="E3" s="144"/>
      <c r="F3" s="144"/>
      <c r="G3" s="145"/>
      <c r="H3" s="7" t="s">
        <v>15</v>
      </c>
      <c r="I3" s="146" t="s">
        <v>67</v>
      </c>
      <c r="J3" s="146"/>
      <c r="K3" s="147"/>
    </row>
    <row r="4" spans="2:11" ht="25" customHeight="1">
      <c r="B4" s="107" t="s">
        <v>5</v>
      </c>
      <c r="C4" s="108"/>
      <c r="D4" s="108"/>
      <c r="E4" s="108"/>
      <c r="F4" s="124" t="s">
        <v>70</v>
      </c>
      <c r="G4" s="148"/>
      <c r="H4" s="148"/>
      <c r="I4" s="148"/>
      <c r="J4" s="148"/>
      <c r="K4" s="125"/>
    </row>
    <row r="5" spans="2:11" ht="25" customHeight="1">
      <c r="B5" s="8" t="s">
        <v>6</v>
      </c>
      <c r="C5" s="103" t="s">
        <v>51</v>
      </c>
      <c r="D5" s="120"/>
      <c r="E5" s="104"/>
      <c r="F5" s="118" t="s">
        <v>43</v>
      </c>
      <c r="G5" s="119"/>
      <c r="H5" s="118">
        <v>45861</v>
      </c>
      <c r="I5" s="121"/>
      <c r="J5" s="121"/>
      <c r="K5" s="122"/>
    </row>
    <row r="6" spans="2:11" ht="25" customHeight="1">
      <c r="B6" s="8" t="s">
        <v>7</v>
      </c>
      <c r="C6" s="139" t="s">
        <v>173</v>
      </c>
      <c r="D6" s="139"/>
      <c r="E6" s="139"/>
      <c r="F6" s="139"/>
      <c r="G6" s="139"/>
      <c r="H6" s="139"/>
      <c r="I6" s="139"/>
      <c r="J6" s="139"/>
      <c r="K6" s="140"/>
    </row>
    <row r="7" spans="2:11" ht="25" customHeight="1">
      <c r="B7" s="107" t="s">
        <v>8</v>
      </c>
      <c r="C7" s="108"/>
      <c r="D7" s="108"/>
      <c r="E7" s="108"/>
      <c r="F7" s="108"/>
      <c r="G7" s="108"/>
      <c r="H7" s="108"/>
      <c r="I7" s="108"/>
      <c r="J7" s="108"/>
      <c r="K7" s="109"/>
    </row>
    <row r="8" spans="2:11" ht="150" customHeight="1">
      <c r="B8" s="97" t="s">
        <v>83</v>
      </c>
      <c r="C8" s="139"/>
      <c r="D8" s="139"/>
      <c r="E8" s="139"/>
      <c r="F8" s="139"/>
      <c r="G8" s="139"/>
      <c r="H8" s="139"/>
      <c r="I8" s="139"/>
      <c r="J8" s="139"/>
      <c r="K8" s="140"/>
    </row>
    <row r="9" spans="2:11" ht="25" customHeight="1">
      <c r="B9" s="130" t="s">
        <v>13</v>
      </c>
      <c r="C9" s="131"/>
      <c r="D9" s="134" t="s">
        <v>27</v>
      </c>
      <c r="E9" s="135"/>
      <c r="F9" s="134" t="s">
        <v>16</v>
      </c>
      <c r="G9" s="135"/>
      <c r="H9" s="134" t="s">
        <v>17</v>
      </c>
      <c r="I9" s="135"/>
      <c r="J9" s="134" t="s">
        <v>18</v>
      </c>
      <c r="K9" s="136"/>
    </row>
    <row r="10" spans="2:11" ht="25" customHeight="1">
      <c r="B10" s="132"/>
      <c r="C10" s="133"/>
      <c r="D10" s="134">
        <f>COUNTIF(B13:B15,"&lt;&gt;")</f>
        <v>0</v>
      </c>
      <c r="E10" s="135"/>
      <c r="F10" s="103">
        <f>COUNTIF(F13:F17,"=轻微")</f>
        <v>0</v>
      </c>
      <c r="G10" s="104"/>
      <c r="H10" s="103">
        <f>COUNTIF(F13:F17,"=一般")</f>
        <v>0</v>
      </c>
      <c r="I10" s="104"/>
      <c r="J10" s="103">
        <f>COUNTIF(F13:F17,"=严重")</f>
        <v>0</v>
      </c>
      <c r="K10" s="138"/>
    </row>
    <row r="11" spans="2:11" ht="25" customHeight="1">
      <c r="B11" s="107" t="s">
        <v>14</v>
      </c>
      <c r="C11" s="108"/>
      <c r="D11" s="108"/>
      <c r="E11" s="108"/>
      <c r="F11" s="108"/>
      <c r="G11" s="108"/>
      <c r="H11" s="108"/>
      <c r="I11" s="108"/>
      <c r="J11" s="108"/>
      <c r="K11" s="109"/>
    </row>
    <row r="12" spans="2:11" s="4" customFormat="1" ht="25" customHeight="1">
      <c r="B12" s="5" t="s">
        <v>20</v>
      </c>
      <c r="C12" s="128" t="s">
        <v>19</v>
      </c>
      <c r="D12" s="128"/>
      <c r="E12" s="128"/>
      <c r="F12" s="6" t="s">
        <v>21</v>
      </c>
      <c r="G12" s="6" t="s">
        <v>9</v>
      </c>
      <c r="H12" s="6" t="s">
        <v>10</v>
      </c>
      <c r="I12" s="6" t="s">
        <v>11</v>
      </c>
      <c r="J12" s="128" t="s">
        <v>22</v>
      </c>
      <c r="K12" s="129"/>
    </row>
    <row r="13" spans="2:11" ht="50.25" customHeight="1">
      <c r="B13" s="10"/>
      <c r="C13" s="51"/>
      <c r="D13" s="52"/>
      <c r="E13" s="53"/>
      <c r="F13" s="2"/>
      <c r="G13" s="2"/>
      <c r="H13" s="12"/>
      <c r="I13" s="12"/>
      <c r="J13" s="51"/>
      <c r="K13" s="102"/>
    </row>
    <row r="14" spans="2:11" ht="67.5" customHeight="1">
      <c r="B14" s="10"/>
      <c r="C14" s="51"/>
      <c r="D14" s="52"/>
      <c r="E14" s="53"/>
      <c r="F14" s="2"/>
      <c r="G14" s="2"/>
      <c r="H14" s="12"/>
      <c r="I14" s="12"/>
      <c r="J14" s="51"/>
      <c r="K14" s="102"/>
    </row>
    <row r="15" spans="2:11" ht="28.25" customHeight="1">
      <c r="B15" s="10"/>
      <c r="C15" s="103"/>
      <c r="D15" s="120"/>
      <c r="E15" s="104"/>
      <c r="F15" s="2"/>
      <c r="G15" s="2"/>
      <c r="H15" s="2"/>
      <c r="I15" s="2"/>
      <c r="J15" s="124"/>
      <c r="K15" s="125"/>
    </row>
    <row r="16" spans="2:11" ht="28.25" customHeight="1">
      <c r="B16" s="107" t="s">
        <v>12</v>
      </c>
      <c r="C16" s="108"/>
      <c r="D16" s="108"/>
      <c r="E16" s="108"/>
      <c r="F16" s="108"/>
      <c r="G16" s="108"/>
      <c r="H16" s="108"/>
      <c r="I16" s="108"/>
      <c r="J16" s="108"/>
      <c r="K16" s="109"/>
    </row>
    <row r="17" spans="2:11" ht="72" customHeight="1" thickBot="1">
      <c r="B17" s="110" t="s">
        <v>58</v>
      </c>
      <c r="C17" s="126"/>
      <c r="D17" s="126"/>
      <c r="E17" s="126"/>
      <c r="F17" s="126"/>
      <c r="G17" s="126"/>
      <c r="H17" s="126"/>
      <c r="I17" s="126"/>
      <c r="J17" s="126"/>
      <c r="K17" s="127"/>
    </row>
    <row r="18" spans="2:11" ht="15" thickTop="1"/>
    <row r="39" spans="9:9">
      <c r="I39" s="11"/>
    </row>
  </sheetData>
  <mergeCells count="32">
    <mergeCell ref="C15:E15"/>
    <mergeCell ref="J15:K15"/>
    <mergeCell ref="B16:K16"/>
    <mergeCell ref="B17:K17"/>
    <mergeCell ref="B11:K11"/>
    <mergeCell ref="C12:E12"/>
    <mergeCell ref="J12:K12"/>
    <mergeCell ref="C13:E13"/>
    <mergeCell ref="J13:K13"/>
    <mergeCell ref="C14:E14"/>
    <mergeCell ref="J14:K14"/>
    <mergeCell ref="B9:C10"/>
    <mergeCell ref="D9:E9"/>
    <mergeCell ref="F9:G9"/>
    <mergeCell ref="H9:I9"/>
    <mergeCell ref="J9:K9"/>
    <mergeCell ref="D10:E10"/>
    <mergeCell ref="F10:G10"/>
    <mergeCell ref="H10:I10"/>
    <mergeCell ref="J10:K10"/>
    <mergeCell ref="B8:K8"/>
    <mergeCell ref="B1:K1"/>
    <mergeCell ref="B2:K2"/>
    <mergeCell ref="C3:G3"/>
    <mergeCell ref="I3:K3"/>
    <mergeCell ref="B4:E4"/>
    <mergeCell ref="F4:K4"/>
    <mergeCell ref="C5:E5"/>
    <mergeCell ref="F5:G5"/>
    <mergeCell ref="H5:K5"/>
    <mergeCell ref="C6:K6"/>
    <mergeCell ref="B7:K7"/>
  </mergeCells>
  <phoneticPr fontId="1" type="noConversion"/>
  <pageMargins left="0.25" right="0.25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K39"/>
  <sheetViews>
    <sheetView view="pageLayout" zoomScaleNormal="100" workbookViewId="0">
      <selection activeCell="B8" sqref="B8:K8"/>
    </sheetView>
  </sheetViews>
  <sheetFormatPr baseColWidth="10" defaultColWidth="9" defaultRowHeight="14"/>
  <cols>
    <col min="1" max="1" width="1.1640625" style="1" customWidth="1"/>
    <col min="2" max="2" width="9.33203125" style="1" customWidth="1"/>
    <col min="3" max="4" width="9" style="1"/>
    <col min="5" max="5" width="4.1640625" style="1" customWidth="1"/>
    <col min="6" max="7" width="9" style="1"/>
    <col min="8" max="8" width="12.1640625" style="1" customWidth="1"/>
    <col min="9" max="9" width="13" style="1" customWidth="1"/>
    <col min="10" max="10" width="9" style="1" customWidth="1"/>
    <col min="11" max="11" width="5.33203125" style="1" customWidth="1"/>
    <col min="12" max="16384" width="9" style="1"/>
  </cols>
  <sheetData>
    <row r="1" spans="2:11" ht="28.25" customHeight="1">
      <c r="B1" s="141" t="s">
        <v>24</v>
      </c>
      <c r="C1" s="141"/>
      <c r="D1" s="141"/>
      <c r="E1" s="141"/>
      <c r="F1" s="141"/>
      <c r="G1" s="141"/>
      <c r="H1" s="141"/>
      <c r="I1" s="141"/>
      <c r="J1" s="141"/>
      <c r="K1" s="141"/>
    </row>
    <row r="2" spans="2:11" ht="28.25" customHeight="1" thickBot="1">
      <c r="B2" s="142" t="s">
        <v>174</v>
      </c>
      <c r="C2" s="142"/>
      <c r="D2" s="142"/>
      <c r="E2" s="142"/>
      <c r="F2" s="142"/>
      <c r="G2" s="142"/>
      <c r="H2" s="142"/>
      <c r="I2" s="142"/>
      <c r="J2" s="142"/>
      <c r="K2" s="142"/>
    </row>
    <row r="3" spans="2:11" ht="25" customHeight="1" thickTop="1">
      <c r="B3" s="9" t="s">
        <v>0</v>
      </c>
      <c r="C3" s="143" t="s">
        <v>239</v>
      </c>
      <c r="D3" s="144"/>
      <c r="E3" s="144"/>
      <c r="F3" s="144"/>
      <c r="G3" s="145"/>
      <c r="H3" s="7" t="s">
        <v>15</v>
      </c>
      <c r="I3" s="146" t="s">
        <v>67</v>
      </c>
      <c r="J3" s="146"/>
      <c r="K3" s="147"/>
    </row>
    <row r="4" spans="2:11" ht="25" customHeight="1">
      <c r="B4" s="107" t="s">
        <v>5</v>
      </c>
      <c r="C4" s="108"/>
      <c r="D4" s="108"/>
      <c r="E4" s="108"/>
      <c r="F4" s="124" t="s">
        <v>55</v>
      </c>
      <c r="G4" s="148"/>
      <c r="H4" s="148"/>
      <c r="I4" s="148"/>
      <c r="J4" s="148"/>
      <c r="K4" s="125"/>
    </row>
    <row r="5" spans="2:11" ht="25" customHeight="1">
      <c r="B5" s="8" t="s">
        <v>6</v>
      </c>
      <c r="C5" s="103" t="s">
        <v>51</v>
      </c>
      <c r="D5" s="120"/>
      <c r="E5" s="104"/>
      <c r="F5" s="118" t="s">
        <v>43</v>
      </c>
      <c r="G5" s="119"/>
      <c r="H5" s="118">
        <v>45869</v>
      </c>
      <c r="I5" s="121"/>
      <c r="J5" s="121"/>
      <c r="K5" s="122"/>
    </row>
    <row r="6" spans="2:11" ht="25" customHeight="1">
      <c r="B6" s="8" t="s">
        <v>7</v>
      </c>
      <c r="C6" s="139" t="s">
        <v>175</v>
      </c>
      <c r="D6" s="139"/>
      <c r="E6" s="139"/>
      <c r="F6" s="139"/>
      <c r="G6" s="139"/>
      <c r="H6" s="139"/>
      <c r="I6" s="139"/>
      <c r="J6" s="139"/>
      <c r="K6" s="140"/>
    </row>
    <row r="7" spans="2:11" ht="25" customHeight="1">
      <c r="B7" s="107" t="s">
        <v>8</v>
      </c>
      <c r="C7" s="108"/>
      <c r="D7" s="108"/>
      <c r="E7" s="108"/>
      <c r="F7" s="108"/>
      <c r="G7" s="108"/>
      <c r="H7" s="108"/>
      <c r="I7" s="108"/>
      <c r="J7" s="108"/>
      <c r="K7" s="109"/>
    </row>
    <row r="8" spans="2:11" ht="150" customHeight="1">
      <c r="B8" s="97" t="s">
        <v>185</v>
      </c>
      <c r="C8" s="139"/>
      <c r="D8" s="139"/>
      <c r="E8" s="139"/>
      <c r="F8" s="139"/>
      <c r="G8" s="139"/>
      <c r="H8" s="139"/>
      <c r="I8" s="139"/>
      <c r="J8" s="139"/>
      <c r="K8" s="140"/>
    </row>
    <row r="9" spans="2:11" ht="25" customHeight="1">
      <c r="B9" s="130" t="s">
        <v>13</v>
      </c>
      <c r="C9" s="131"/>
      <c r="D9" s="134" t="s">
        <v>27</v>
      </c>
      <c r="E9" s="135"/>
      <c r="F9" s="134" t="s">
        <v>16</v>
      </c>
      <c r="G9" s="135"/>
      <c r="H9" s="134" t="s">
        <v>17</v>
      </c>
      <c r="I9" s="135"/>
      <c r="J9" s="134" t="s">
        <v>18</v>
      </c>
      <c r="K9" s="136"/>
    </row>
    <row r="10" spans="2:11" ht="25" customHeight="1">
      <c r="B10" s="132"/>
      <c r="C10" s="133"/>
      <c r="D10" s="134">
        <f>COUNTIF(B13:B15,"&lt;&gt;")</f>
        <v>2</v>
      </c>
      <c r="E10" s="135"/>
      <c r="F10" s="103">
        <f>COUNTIF(F13:F17,"=轻微")</f>
        <v>2</v>
      </c>
      <c r="G10" s="104"/>
      <c r="H10" s="103">
        <f>COUNTIF(F13:F17,"=一般")</f>
        <v>0</v>
      </c>
      <c r="I10" s="104"/>
      <c r="J10" s="103">
        <f>COUNTIF(F13:F17,"=严重")</f>
        <v>0</v>
      </c>
      <c r="K10" s="138"/>
    </row>
    <row r="11" spans="2:11" ht="25" customHeight="1">
      <c r="B11" s="107" t="s">
        <v>14</v>
      </c>
      <c r="C11" s="108"/>
      <c r="D11" s="108"/>
      <c r="E11" s="108"/>
      <c r="F11" s="108"/>
      <c r="G11" s="108"/>
      <c r="H11" s="108"/>
      <c r="I11" s="108"/>
      <c r="J11" s="108"/>
      <c r="K11" s="109"/>
    </row>
    <row r="12" spans="2:11" s="4" customFormat="1" ht="25" customHeight="1">
      <c r="B12" s="5" t="s">
        <v>20</v>
      </c>
      <c r="C12" s="128" t="s">
        <v>19</v>
      </c>
      <c r="D12" s="128"/>
      <c r="E12" s="128"/>
      <c r="F12" s="6" t="s">
        <v>21</v>
      </c>
      <c r="G12" s="6" t="s">
        <v>9</v>
      </c>
      <c r="H12" s="6" t="s">
        <v>10</v>
      </c>
      <c r="I12" s="6" t="s">
        <v>11</v>
      </c>
      <c r="J12" s="128" t="s">
        <v>22</v>
      </c>
      <c r="K12" s="129"/>
    </row>
    <row r="13" spans="2:11" ht="50.25" customHeight="1">
      <c r="B13" s="10">
        <v>1</v>
      </c>
      <c r="C13" s="51" t="s">
        <v>176</v>
      </c>
      <c r="D13" s="52"/>
      <c r="E13" s="53"/>
      <c r="F13" s="2" t="s">
        <v>56</v>
      </c>
      <c r="G13" s="2" t="s">
        <v>57</v>
      </c>
      <c r="H13" s="12" t="s">
        <v>177</v>
      </c>
      <c r="I13" s="12" t="s">
        <v>178</v>
      </c>
      <c r="J13" s="51" t="s">
        <v>179</v>
      </c>
      <c r="K13" s="102"/>
    </row>
    <row r="14" spans="2:11" ht="67.5" customHeight="1">
      <c r="B14" s="10">
        <v>2</v>
      </c>
      <c r="C14" s="51" t="s">
        <v>182</v>
      </c>
      <c r="D14" s="52"/>
      <c r="E14" s="53"/>
      <c r="F14" s="2" t="s">
        <v>56</v>
      </c>
      <c r="G14" s="2" t="s">
        <v>57</v>
      </c>
      <c r="H14" s="12" t="s">
        <v>177</v>
      </c>
      <c r="I14" s="12" t="s">
        <v>178</v>
      </c>
      <c r="J14" s="51" t="s">
        <v>184</v>
      </c>
      <c r="K14" s="102"/>
    </row>
    <row r="15" spans="2:11" ht="28.25" customHeight="1">
      <c r="B15" s="10"/>
      <c r="C15" s="103"/>
      <c r="D15" s="120"/>
      <c r="E15" s="104"/>
      <c r="F15" s="2"/>
      <c r="G15" s="2"/>
      <c r="H15" s="2"/>
      <c r="I15" s="2"/>
      <c r="J15" s="124"/>
      <c r="K15" s="125"/>
    </row>
    <row r="16" spans="2:11" ht="28.25" customHeight="1">
      <c r="B16" s="107" t="s">
        <v>12</v>
      </c>
      <c r="C16" s="108"/>
      <c r="D16" s="108"/>
      <c r="E16" s="108"/>
      <c r="F16" s="108"/>
      <c r="G16" s="108"/>
      <c r="H16" s="108"/>
      <c r="I16" s="108"/>
      <c r="J16" s="108"/>
      <c r="K16" s="109"/>
    </row>
    <row r="17" spans="2:11" ht="72" customHeight="1" thickBot="1">
      <c r="B17" s="110" t="s">
        <v>50</v>
      </c>
      <c r="C17" s="126"/>
      <c r="D17" s="126"/>
      <c r="E17" s="126"/>
      <c r="F17" s="126"/>
      <c r="G17" s="126"/>
      <c r="H17" s="126"/>
      <c r="I17" s="126"/>
      <c r="J17" s="126"/>
      <c r="K17" s="127"/>
    </row>
    <row r="18" spans="2:11" ht="15" thickTop="1"/>
    <row r="39" spans="9:9">
      <c r="I39" s="11"/>
    </row>
  </sheetData>
  <mergeCells count="32">
    <mergeCell ref="B8:K8"/>
    <mergeCell ref="B1:K1"/>
    <mergeCell ref="B2:K2"/>
    <mergeCell ref="C3:G3"/>
    <mergeCell ref="I3:K3"/>
    <mergeCell ref="B4:E4"/>
    <mergeCell ref="F4:K4"/>
    <mergeCell ref="C5:E5"/>
    <mergeCell ref="F5:G5"/>
    <mergeCell ref="H5:K5"/>
    <mergeCell ref="C6:K6"/>
    <mergeCell ref="B7:K7"/>
    <mergeCell ref="B9:C10"/>
    <mergeCell ref="D9:E9"/>
    <mergeCell ref="F9:G9"/>
    <mergeCell ref="H9:I9"/>
    <mergeCell ref="J9:K9"/>
    <mergeCell ref="D10:E10"/>
    <mergeCell ref="F10:G10"/>
    <mergeCell ref="H10:I10"/>
    <mergeCell ref="J10:K10"/>
    <mergeCell ref="C15:E15"/>
    <mergeCell ref="J15:K15"/>
    <mergeCell ref="B16:K16"/>
    <mergeCell ref="B17:K17"/>
    <mergeCell ref="B11:K11"/>
    <mergeCell ref="C12:E12"/>
    <mergeCell ref="J12:K12"/>
    <mergeCell ref="C13:E13"/>
    <mergeCell ref="J13:K13"/>
    <mergeCell ref="C14:E14"/>
    <mergeCell ref="J14:K14"/>
  </mergeCells>
  <phoneticPr fontId="1" type="noConversion"/>
  <pageMargins left="0.25" right="0.25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K38"/>
  <sheetViews>
    <sheetView view="pageLayout" zoomScaleNormal="100" workbookViewId="0">
      <selection activeCell="C14" sqref="C14:E14"/>
    </sheetView>
  </sheetViews>
  <sheetFormatPr baseColWidth="10" defaultColWidth="9" defaultRowHeight="14"/>
  <cols>
    <col min="1" max="1" width="1.1640625" style="1" customWidth="1"/>
    <col min="2" max="2" width="8.83203125" style="1" customWidth="1"/>
    <col min="3" max="4" width="9" style="1"/>
    <col min="5" max="5" width="6.1640625" style="1" customWidth="1"/>
    <col min="6" max="7" width="9" style="1"/>
    <col min="8" max="8" width="12.1640625" style="1" customWidth="1"/>
    <col min="9" max="9" width="13" style="1" customWidth="1"/>
    <col min="10" max="10" width="9" style="1" customWidth="1"/>
    <col min="11" max="11" width="4.83203125" style="1" customWidth="1"/>
    <col min="12" max="16384" width="9" style="1"/>
  </cols>
  <sheetData>
    <row r="1" spans="2:11" ht="28.25" customHeight="1">
      <c r="B1" s="141" t="s">
        <v>24</v>
      </c>
      <c r="C1" s="141"/>
      <c r="D1" s="141"/>
      <c r="E1" s="141"/>
      <c r="F1" s="141"/>
      <c r="G1" s="141"/>
      <c r="H1" s="141"/>
      <c r="I1" s="141"/>
      <c r="J1" s="141"/>
      <c r="K1" s="141"/>
    </row>
    <row r="2" spans="2:11" ht="28.25" customHeight="1" thickBot="1">
      <c r="B2" s="142" t="s">
        <v>180</v>
      </c>
      <c r="C2" s="142"/>
      <c r="D2" s="142"/>
      <c r="E2" s="142"/>
      <c r="F2" s="142"/>
      <c r="G2" s="142"/>
      <c r="H2" s="142"/>
      <c r="I2" s="142"/>
      <c r="J2" s="142"/>
      <c r="K2" s="142"/>
    </row>
    <row r="3" spans="2:11" ht="25" customHeight="1" thickTop="1">
      <c r="B3" s="9" t="s">
        <v>0</v>
      </c>
      <c r="C3" s="143" t="s">
        <v>239</v>
      </c>
      <c r="D3" s="144"/>
      <c r="E3" s="144"/>
      <c r="F3" s="144"/>
      <c r="G3" s="145"/>
      <c r="H3" s="7" t="s">
        <v>15</v>
      </c>
      <c r="I3" s="146" t="s">
        <v>67</v>
      </c>
      <c r="J3" s="146"/>
      <c r="K3" s="147"/>
    </row>
    <row r="4" spans="2:11" ht="25" customHeight="1">
      <c r="B4" s="107" t="s">
        <v>5</v>
      </c>
      <c r="C4" s="108"/>
      <c r="D4" s="108"/>
      <c r="E4" s="108"/>
      <c r="F4" s="124" t="s">
        <v>75</v>
      </c>
      <c r="G4" s="148"/>
      <c r="H4" s="148"/>
      <c r="I4" s="148"/>
      <c r="J4" s="148"/>
      <c r="K4" s="125"/>
    </row>
    <row r="5" spans="2:11" ht="25" customHeight="1">
      <c r="B5" s="8" t="s">
        <v>6</v>
      </c>
      <c r="C5" s="103" t="s">
        <v>51</v>
      </c>
      <c r="D5" s="120"/>
      <c r="E5" s="104"/>
      <c r="F5" s="118" t="s">
        <v>43</v>
      </c>
      <c r="G5" s="119"/>
      <c r="H5" s="118">
        <v>45875</v>
      </c>
      <c r="I5" s="121"/>
      <c r="J5" s="121"/>
      <c r="K5" s="122"/>
    </row>
    <row r="6" spans="2:11" ht="25" customHeight="1">
      <c r="B6" s="8" t="s">
        <v>7</v>
      </c>
      <c r="C6" s="139" t="s">
        <v>181</v>
      </c>
      <c r="D6" s="139"/>
      <c r="E6" s="139"/>
      <c r="F6" s="139"/>
      <c r="G6" s="139"/>
      <c r="H6" s="139"/>
      <c r="I6" s="139"/>
      <c r="J6" s="139"/>
      <c r="K6" s="140"/>
    </row>
    <row r="7" spans="2:11" ht="25" customHeight="1">
      <c r="B7" s="107" t="s">
        <v>8</v>
      </c>
      <c r="C7" s="108"/>
      <c r="D7" s="108"/>
      <c r="E7" s="108"/>
      <c r="F7" s="108"/>
      <c r="G7" s="108"/>
      <c r="H7" s="108"/>
      <c r="I7" s="108"/>
      <c r="J7" s="108"/>
      <c r="K7" s="109"/>
    </row>
    <row r="8" spans="2:11" ht="150" customHeight="1">
      <c r="B8" s="97" t="s">
        <v>228</v>
      </c>
      <c r="C8" s="139"/>
      <c r="D8" s="139"/>
      <c r="E8" s="139"/>
      <c r="F8" s="139"/>
      <c r="G8" s="139"/>
      <c r="H8" s="139"/>
      <c r="I8" s="139"/>
      <c r="J8" s="139"/>
      <c r="K8" s="140"/>
    </row>
    <row r="9" spans="2:11" ht="25" customHeight="1">
      <c r="B9" s="130" t="s">
        <v>13</v>
      </c>
      <c r="C9" s="131"/>
      <c r="D9" s="134" t="s">
        <v>27</v>
      </c>
      <c r="E9" s="135"/>
      <c r="F9" s="134" t="s">
        <v>16</v>
      </c>
      <c r="G9" s="135"/>
      <c r="H9" s="134" t="s">
        <v>17</v>
      </c>
      <c r="I9" s="135"/>
      <c r="J9" s="134" t="s">
        <v>18</v>
      </c>
      <c r="K9" s="136"/>
    </row>
    <row r="10" spans="2:11" ht="25" customHeight="1">
      <c r="B10" s="132"/>
      <c r="C10" s="133"/>
      <c r="D10" s="134">
        <f>COUNTIF(B13:B14,"&lt;&gt;")</f>
        <v>2</v>
      </c>
      <c r="E10" s="135"/>
      <c r="F10" s="103">
        <f>COUNTIF(F13:F16,"=轻微")</f>
        <v>0</v>
      </c>
      <c r="G10" s="104"/>
      <c r="H10" s="103">
        <f>COUNTIF(F13:F16,"=一般")</f>
        <v>2</v>
      </c>
      <c r="I10" s="104"/>
      <c r="J10" s="103">
        <f>COUNTIF(F13:F16,"=严重")</f>
        <v>0</v>
      </c>
      <c r="K10" s="138"/>
    </row>
    <row r="11" spans="2:11" ht="25" customHeight="1">
      <c r="B11" s="107" t="s">
        <v>14</v>
      </c>
      <c r="C11" s="108"/>
      <c r="D11" s="108"/>
      <c r="E11" s="108"/>
      <c r="F11" s="108"/>
      <c r="G11" s="108"/>
      <c r="H11" s="108"/>
      <c r="I11" s="108"/>
      <c r="J11" s="108"/>
      <c r="K11" s="109"/>
    </row>
    <row r="12" spans="2:11" s="4" customFormat="1" ht="25" customHeight="1">
      <c r="B12" s="5" t="s">
        <v>20</v>
      </c>
      <c r="C12" s="128" t="s">
        <v>19</v>
      </c>
      <c r="D12" s="128"/>
      <c r="E12" s="128"/>
      <c r="F12" s="6" t="s">
        <v>21</v>
      </c>
      <c r="G12" s="6" t="s">
        <v>9</v>
      </c>
      <c r="H12" s="6" t="s">
        <v>10</v>
      </c>
      <c r="I12" s="6" t="s">
        <v>11</v>
      </c>
      <c r="J12" s="128" t="s">
        <v>22</v>
      </c>
      <c r="K12" s="129"/>
    </row>
    <row r="13" spans="2:11" ht="50.25" customHeight="1">
      <c r="B13" s="10">
        <v>1</v>
      </c>
      <c r="C13" s="51" t="s">
        <v>76</v>
      </c>
      <c r="D13" s="52"/>
      <c r="E13" s="53"/>
      <c r="F13" s="2" t="s">
        <v>71</v>
      </c>
      <c r="G13" s="2" t="s">
        <v>150</v>
      </c>
      <c r="H13" s="12" t="s">
        <v>186</v>
      </c>
      <c r="I13" s="12" t="s">
        <v>187</v>
      </c>
      <c r="J13" s="51" t="s">
        <v>77</v>
      </c>
      <c r="K13" s="102"/>
    </row>
    <row r="14" spans="2:11" ht="28.25" customHeight="1">
      <c r="B14" s="10">
        <v>2</v>
      </c>
      <c r="C14" s="51" t="s">
        <v>225</v>
      </c>
      <c r="D14" s="52"/>
      <c r="E14" s="53"/>
      <c r="F14" s="2" t="s">
        <v>52</v>
      </c>
      <c r="G14" s="2" t="s">
        <v>226</v>
      </c>
      <c r="H14" s="12" t="s">
        <v>186</v>
      </c>
      <c r="I14" s="12" t="s">
        <v>187</v>
      </c>
      <c r="J14" s="124" t="s">
        <v>227</v>
      </c>
      <c r="K14" s="125"/>
    </row>
    <row r="15" spans="2:11" ht="28.25" customHeight="1">
      <c r="B15" s="107" t="s">
        <v>12</v>
      </c>
      <c r="C15" s="108"/>
      <c r="D15" s="108"/>
      <c r="E15" s="108"/>
      <c r="F15" s="108"/>
      <c r="G15" s="108"/>
      <c r="H15" s="108"/>
      <c r="I15" s="108"/>
      <c r="J15" s="108"/>
      <c r="K15" s="109"/>
    </row>
    <row r="16" spans="2:11" ht="72" customHeight="1" thickBot="1">
      <c r="B16" s="110" t="s">
        <v>50</v>
      </c>
      <c r="C16" s="126"/>
      <c r="D16" s="126"/>
      <c r="E16" s="126"/>
      <c r="F16" s="126"/>
      <c r="G16" s="126"/>
      <c r="H16" s="126"/>
      <c r="I16" s="126"/>
      <c r="J16" s="126"/>
      <c r="K16" s="127"/>
    </row>
    <row r="17" ht="15" thickTop="1"/>
    <row r="38" spans="9:9">
      <c r="I38" s="11"/>
    </row>
  </sheetData>
  <mergeCells count="30">
    <mergeCell ref="B8:K8"/>
    <mergeCell ref="B1:K1"/>
    <mergeCell ref="B2:K2"/>
    <mergeCell ref="C3:G3"/>
    <mergeCell ref="I3:K3"/>
    <mergeCell ref="B4:E4"/>
    <mergeCell ref="F4:K4"/>
    <mergeCell ref="C5:E5"/>
    <mergeCell ref="F5:G5"/>
    <mergeCell ref="H5:K5"/>
    <mergeCell ref="C6:K6"/>
    <mergeCell ref="B7:K7"/>
    <mergeCell ref="B9:C10"/>
    <mergeCell ref="D9:E9"/>
    <mergeCell ref="F9:G9"/>
    <mergeCell ref="H9:I9"/>
    <mergeCell ref="J9:K9"/>
    <mergeCell ref="D10:E10"/>
    <mergeCell ref="F10:G10"/>
    <mergeCell ref="H10:I10"/>
    <mergeCell ref="J10:K10"/>
    <mergeCell ref="C14:E14"/>
    <mergeCell ref="J14:K14"/>
    <mergeCell ref="B15:K15"/>
    <mergeCell ref="B16:K16"/>
    <mergeCell ref="B11:K11"/>
    <mergeCell ref="C12:E12"/>
    <mergeCell ref="J12:K12"/>
    <mergeCell ref="C13:E13"/>
    <mergeCell ref="J13:K13"/>
  </mergeCells>
  <phoneticPr fontId="1" type="noConversion"/>
  <pageMargins left="0.25" right="0.25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K39"/>
  <sheetViews>
    <sheetView view="pageLayout" zoomScaleNormal="100" workbookViewId="0">
      <selection activeCell="B8" sqref="B8:K8"/>
    </sheetView>
  </sheetViews>
  <sheetFormatPr baseColWidth="10" defaultColWidth="9" defaultRowHeight="14"/>
  <cols>
    <col min="1" max="1" width="1.1640625" style="1" customWidth="1"/>
    <col min="2" max="2" width="9" style="1" customWidth="1"/>
    <col min="3" max="4" width="9" style="1"/>
    <col min="5" max="5" width="6.33203125" style="1" customWidth="1"/>
    <col min="6" max="7" width="9" style="1"/>
    <col min="8" max="8" width="12.1640625" style="1" customWidth="1"/>
    <col min="9" max="9" width="13" style="1" customWidth="1"/>
    <col min="10" max="10" width="9" style="1" customWidth="1"/>
    <col min="11" max="11" width="6.1640625" style="1" customWidth="1"/>
    <col min="12" max="16384" width="9" style="1"/>
  </cols>
  <sheetData>
    <row r="1" spans="2:11" ht="28.25" customHeight="1">
      <c r="B1" s="141" t="s">
        <v>24</v>
      </c>
      <c r="C1" s="141"/>
      <c r="D1" s="141"/>
      <c r="E1" s="141"/>
      <c r="F1" s="141"/>
      <c r="G1" s="141"/>
      <c r="H1" s="141"/>
      <c r="I1" s="141"/>
      <c r="J1" s="141"/>
      <c r="K1" s="141"/>
    </row>
    <row r="2" spans="2:11" ht="28.25" customHeight="1" thickBot="1">
      <c r="B2" s="142" t="s">
        <v>188</v>
      </c>
      <c r="C2" s="142"/>
      <c r="D2" s="142"/>
      <c r="E2" s="142"/>
      <c r="F2" s="142"/>
      <c r="G2" s="142"/>
      <c r="H2" s="142"/>
      <c r="I2" s="142"/>
      <c r="J2" s="142"/>
      <c r="K2" s="142"/>
    </row>
    <row r="3" spans="2:11" ht="25" customHeight="1" thickTop="1">
      <c r="B3" s="9" t="s">
        <v>0</v>
      </c>
      <c r="C3" s="143" t="s">
        <v>239</v>
      </c>
      <c r="D3" s="144"/>
      <c r="E3" s="144"/>
      <c r="F3" s="144"/>
      <c r="G3" s="145"/>
      <c r="H3" s="7" t="s">
        <v>15</v>
      </c>
      <c r="I3" s="146" t="s">
        <v>67</v>
      </c>
      <c r="J3" s="146"/>
      <c r="K3" s="147"/>
    </row>
    <row r="4" spans="2:11" ht="25" customHeight="1">
      <c r="B4" s="107" t="s">
        <v>5</v>
      </c>
      <c r="C4" s="108"/>
      <c r="D4" s="108"/>
      <c r="E4" s="108"/>
      <c r="F4" s="124" t="s">
        <v>70</v>
      </c>
      <c r="G4" s="148"/>
      <c r="H4" s="148"/>
      <c r="I4" s="148"/>
      <c r="J4" s="148"/>
      <c r="K4" s="125"/>
    </row>
    <row r="5" spans="2:11" ht="25" customHeight="1">
      <c r="B5" s="8" t="s">
        <v>6</v>
      </c>
      <c r="C5" s="103" t="s">
        <v>51</v>
      </c>
      <c r="D5" s="120"/>
      <c r="E5" s="104"/>
      <c r="F5" s="118" t="s">
        <v>43</v>
      </c>
      <c r="G5" s="119"/>
      <c r="H5" s="118">
        <v>45875</v>
      </c>
      <c r="I5" s="121"/>
      <c r="J5" s="121"/>
      <c r="K5" s="122"/>
    </row>
    <row r="6" spans="2:11" ht="25" customHeight="1">
      <c r="B6" s="8" t="s">
        <v>7</v>
      </c>
      <c r="C6" s="139" t="s">
        <v>189</v>
      </c>
      <c r="D6" s="139"/>
      <c r="E6" s="139"/>
      <c r="F6" s="139"/>
      <c r="G6" s="139"/>
      <c r="H6" s="139"/>
      <c r="I6" s="139"/>
      <c r="J6" s="139"/>
      <c r="K6" s="140"/>
    </row>
    <row r="7" spans="2:11" ht="25" customHeight="1">
      <c r="B7" s="107" t="s">
        <v>8</v>
      </c>
      <c r="C7" s="108"/>
      <c r="D7" s="108"/>
      <c r="E7" s="108"/>
      <c r="F7" s="108"/>
      <c r="G7" s="108"/>
      <c r="H7" s="108"/>
      <c r="I7" s="108"/>
      <c r="J7" s="108"/>
      <c r="K7" s="109"/>
    </row>
    <row r="8" spans="2:11" ht="150" customHeight="1">
      <c r="B8" s="97" t="s">
        <v>83</v>
      </c>
      <c r="C8" s="139"/>
      <c r="D8" s="139"/>
      <c r="E8" s="139"/>
      <c r="F8" s="139"/>
      <c r="G8" s="139"/>
      <c r="H8" s="139"/>
      <c r="I8" s="139"/>
      <c r="J8" s="139"/>
      <c r="K8" s="140"/>
    </row>
    <row r="9" spans="2:11" ht="25" customHeight="1">
      <c r="B9" s="130" t="s">
        <v>13</v>
      </c>
      <c r="C9" s="131"/>
      <c r="D9" s="134" t="s">
        <v>27</v>
      </c>
      <c r="E9" s="135"/>
      <c r="F9" s="134" t="s">
        <v>16</v>
      </c>
      <c r="G9" s="135"/>
      <c r="H9" s="134" t="s">
        <v>17</v>
      </c>
      <c r="I9" s="135"/>
      <c r="J9" s="134" t="s">
        <v>18</v>
      </c>
      <c r="K9" s="136"/>
    </row>
    <row r="10" spans="2:11" ht="25" customHeight="1">
      <c r="B10" s="132"/>
      <c r="C10" s="133"/>
      <c r="D10" s="134">
        <f>COUNTIF(B13:B15,"&lt;&gt;")</f>
        <v>0</v>
      </c>
      <c r="E10" s="135"/>
      <c r="F10" s="103">
        <f>COUNTIF(F13:F17,"=轻微")</f>
        <v>0</v>
      </c>
      <c r="G10" s="104"/>
      <c r="H10" s="103">
        <f>COUNTIF(F13:F17,"=一般")</f>
        <v>0</v>
      </c>
      <c r="I10" s="104"/>
      <c r="J10" s="103">
        <f>COUNTIF(F13:F17,"=严重")</f>
        <v>0</v>
      </c>
      <c r="K10" s="138"/>
    </row>
    <row r="11" spans="2:11" ht="25" customHeight="1">
      <c r="B11" s="107" t="s">
        <v>14</v>
      </c>
      <c r="C11" s="108"/>
      <c r="D11" s="108"/>
      <c r="E11" s="108"/>
      <c r="F11" s="108"/>
      <c r="G11" s="108"/>
      <c r="H11" s="108"/>
      <c r="I11" s="108"/>
      <c r="J11" s="108"/>
      <c r="K11" s="109"/>
    </row>
    <row r="12" spans="2:11" s="4" customFormat="1" ht="25" customHeight="1">
      <c r="B12" s="5" t="s">
        <v>20</v>
      </c>
      <c r="C12" s="128" t="s">
        <v>19</v>
      </c>
      <c r="D12" s="128"/>
      <c r="E12" s="128"/>
      <c r="F12" s="6" t="s">
        <v>21</v>
      </c>
      <c r="G12" s="6" t="s">
        <v>9</v>
      </c>
      <c r="H12" s="6" t="s">
        <v>10</v>
      </c>
      <c r="I12" s="6" t="s">
        <v>11</v>
      </c>
      <c r="J12" s="128" t="s">
        <v>22</v>
      </c>
      <c r="K12" s="129"/>
    </row>
    <row r="13" spans="2:11" ht="50.25" customHeight="1">
      <c r="B13" s="10"/>
      <c r="C13" s="51"/>
      <c r="D13" s="52"/>
      <c r="E13" s="53"/>
      <c r="F13" s="2"/>
      <c r="G13" s="2"/>
      <c r="H13" s="12"/>
      <c r="I13" s="12"/>
      <c r="J13" s="51"/>
      <c r="K13" s="102"/>
    </row>
    <row r="14" spans="2:11" ht="67.5" customHeight="1">
      <c r="B14" s="10"/>
      <c r="C14" s="51"/>
      <c r="D14" s="52"/>
      <c r="E14" s="53"/>
      <c r="F14" s="2"/>
      <c r="G14" s="2"/>
      <c r="H14" s="12"/>
      <c r="I14" s="12"/>
      <c r="J14" s="51"/>
      <c r="K14" s="102"/>
    </row>
    <row r="15" spans="2:11" ht="28.25" customHeight="1">
      <c r="B15" s="10"/>
      <c r="C15" s="103"/>
      <c r="D15" s="120"/>
      <c r="E15" s="104"/>
      <c r="F15" s="2"/>
      <c r="G15" s="2"/>
      <c r="H15" s="2"/>
      <c r="I15" s="2"/>
      <c r="J15" s="124"/>
      <c r="K15" s="125"/>
    </row>
    <row r="16" spans="2:11" ht="28.25" customHeight="1">
      <c r="B16" s="107" t="s">
        <v>12</v>
      </c>
      <c r="C16" s="108"/>
      <c r="D16" s="108"/>
      <c r="E16" s="108"/>
      <c r="F16" s="108"/>
      <c r="G16" s="108"/>
      <c r="H16" s="108"/>
      <c r="I16" s="108"/>
      <c r="J16" s="108"/>
      <c r="K16" s="109"/>
    </row>
    <row r="17" spans="2:11" ht="72" customHeight="1" thickBot="1">
      <c r="B17" s="110" t="s">
        <v>58</v>
      </c>
      <c r="C17" s="126"/>
      <c r="D17" s="126"/>
      <c r="E17" s="126"/>
      <c r="F17" s="126"/>
      <c r="G17" s="126"/>
      <c r="H17" s="126"/>
      <c r="I17" s="126"/>
      <c r="J17" s="126"/>
      <c r="K17" s="127"/>
    </row>
    <row r="18" spans="2:11" ht="15" thickTop="1"/>
    <row r="39" spans="9:9">
      <c r="I39" s="11"/>
    </row>
  </sheetData>
  <mergeCells count="32">
    <mergeCell ref="B8:K8"/>
    <mergeCell ref="B1:K1"/>
    <mergeCell ref="B2:K2"/>
    <mergeCell ref="C3:G3"/>
    <mergeCell ref="I3:K3"/>
    <mergeCell ref="B4:E4"/>
    <mergeCell ref="F4:K4"/>
    <mergeCell ref="C5:E5"/>
    <mergeCell ref="F5:G5"/>
    <mergeCell ref="H5:K5"/>
    <mergeCell ref="C6:K6"/>
    <mergeCell ref="B7:K7"/>
    <mergeCell ref="B9:C10"/>
    <mergeCell ref="D9:E9"/>
    <mergeCell ref="F9:G9"/>
    <mergeCell ref="H9:I9"/>
    <mergeCell ref="J9:K9"/>
    <mergeCell ref="D10:E10"/>
    <mergeCell ref="F10:G10"/>
    <mergeCell ref="H10:I10"/>
    <mergeCell ref="J10:K10"/>
    <mergeCell ref="C15:E15"/>
    <mergeCell ref="J15:K15"/>
    <mergeCell ref="B16:K16"/>
    <mergeCell ref="B17:K17"/>
    <mergeCell ref="B11:K11"/>
    <mergeCell ref="C12:E12"/>
    <mergeCell ref="J12:K12"/>
    <mergeCell ref="C13:E13"/>
    <mergeCell ref="J13:K13"/>
    <mergeCell ref="C14:E14"/>
    <mergeCell ref="J14:K14"/>
  </mergeCells>
  <phoneticPr fontId="1" type="noConversion"/>
  <pageMargins left="0.25" right="0.25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K40"/>
  <sheetViews>
    <sheetView view="pageLayout" topLeftCell="A5" zoomScaleNormal="100" workbookViewId="0">
      <selection activeCell="H12" sqref="H12"/>
    </sheetView>
  </sheetViews>
  <sheetFormatPr baseColWidth="10" defaultColWidth="9" defaultRowHeight="14"/>
  <cols>
    <col min="1" max="1" width="1.1640625" style="1" customWidth="1"/>
    <col min="2" max="2" width="8.1640625" style="1" customWidth="1"/>
    <col min="3" max="4" width="9" style="1"/>
    <col min="5" max="5" width="5" style="1" customWidth="1"/>
    <col min="6" max="6" width="9" style="1"/>
    <col min="7" max="7" width="7.83203125" style="1" customWidth="1"/>
    <col min="8" max="8" width="10.33203125" style="1" customWidth="1"/>
    <col min="9" max="9" width="13" style="1" customWidth="1"/>
    <col min="10" max="10" width="9" style="1" customWidth="1"/>
    <col min="11" max="11" width="11.33203125" style="1" customWidth="1"/>
    <col min="12" max="16384" width="9" style="1"/>
  </cols>
  <sheetData>
    <row r="1" spans="2:11" ht="28.25" customHeight="1">
      <c r="B1" s="141" t="s">
        <v>24</v>
      </c>
      <c r="C1" s="141"/>
      <c r="D1" s="141"/>
      <c r="E1" s="141"/>
      <c r="F1" s="141"/>
      <c r="G1" s="141"/>
      <c r="H1" s="141"/>
      <c r="I1" s="141"/>
      <c r="J1" s="141"/>
      <c r="K1" s="141"/>
    </row>
    <row r="2" spans="2:11" ht="28.25" customHeight="1" thickBot="1">
      <c r="B2" s="142" t="s">
        <v>190</v>
      </c>
      <c r="C2" s="142"/>
      <c r="D2" s="142"/>
      <c r="E2" s="142"/>
      <c r="F2" s="142"/>
      <c r="G2" s="142"/>
      <c r="H2" s="142"/>
      <c r="I2" s="142"/>
      <c r="J2" s="142"/>
      <c r="K2" s="142"/>
    </row>
    <row r="3" spans="2:11" ht="25" customHeight="1" thickTop="1">
      <c r="B3" s="9" t="s">
        <v>0</v>
      </c>
      <c r="C3" s="143" t="s">
        <v>239</v>
      </c>
      <c r="D3" s="144"/>
      <c r="E3" s="144"/>
      <c r="F3" s="144"/>
      <c r="G3" s="145"/>
      <c r="H3" s="7" t="s">
        <v>15</v>
      </c>
      <c r="I3" s="146" t="s">
        <v>67</v>
      </c>
      <c r="J3" s="146"/>
      <c r="K3" s="147"/>
    </row>
    <row r="4" spans="2:11" ht="25" customHeight="1">
      <c r="B4" s="107" t="s">
        <v>5</v>
      </c>
      <c r="C4" s="108"/>
      <c r="D4" s="108"/>
      <c r="E4" s="108"/>
      <c r="F4" s="124" t="s">
        <v>69</v>
      </c>
      <c r="G4" s="148"/>
      <c r="H4" s="148"/>
      <c r="I4" s="148"/>
      <c r="J4" s="148"/>
      <c r="K4" s="125"/>
    </row>
    <row r="5" spans="2:11" ht="25" customHeight="1">
      <c r="B5" s="8" t="s">
        <v>6</v>
      </c>
      <c r="C5" s="103" t="s">
        <v>51</v>
      </c>
      <c r="D5" s="120"/>
      <c r="E5" s="104"/>
      <c r="F5" s="118" t="s">
        <v>43</v>
      </c>
      <c r="G5" s="119"/>
      <c r="H5" s="118">
        <v>45889</v>
      </c>
      <c r="I5" s="121"/>
      <c r="J5" s="121"/>
      <c r="K5" s="122"/>
    </row>
    <row r="6" spans="2:11" ht="25" customHeight="1">
      <c r="B6" s="8" t="s">
        <v>7</v>
      </c>
      <c r="C6" s="139" t="s">
        <v>191</v>
      </c>
      <c r="D6" s="139"/>
      <c r="E6" s="139"/>
      <c r="F6" s="139"/>
      <c r="G6" s="139"/>
      <c r="H6" s="139"/>
      <c r="I6" s="139"/>
      <c r="J6" s="139"/>
      <c r="K6" s="140"/>
    </row>
    <row r="7" spans="2:11" ht="25" customHeight="1">
      <c r="B7" s="107" t="s">
        <v>8</v>
      </c>
      <c r="C7" s="108"/>
      <c r="D7" s="108"/>
      <c r="E7" s="108"/>
      <c r="F7" s="108"/>
      <c r="G7" s="108"/>
      <c r="H7" s="108"/>
      <c r="I7" s="108"/>
      <c r="J7" s="108"/>
      <c r="K7" s="109"/>
    </row>
    <row r="8" spans="2:11" ht="102.75" customHeight="1">
      <c r="B8" s="97" t="s">
        <v>248</v>
      </c>
      <c r="C8" s="139"/>
      <c r="D8" s="139"/>
      <c r="E8" s="139"/>
      <c r="F8" s="139"/>
      <c r="G8" s="139"/>
      <c r="H8" s="139"/>
      <c r="I8" s="139"/>
      <c r="J8" s="139"/>
      <c r="K8" s="140"/>
    </row>
    <row r="9" spans="2:11" ht="25" customHeight="1">
      <c r="B9" s="130" t="s">
        <v>13</v>
      </c>
      <c r="C9" s="131"/>
      <c r="D9" s="134" t="s">
        <v>27</v>
      </c>
      <c r="E9" s="135"/>
      <c r="F9" s="134" t="s">
        <v>16</v>
      </c>
      <c r="G9" s="135"/>
      <c r="H9" s="134" t="s">
        <v>17</v>
      </c>
      <c r="I9" s="135"/>
      <c r="J9" s="134" t="s">
        <v>18</v>
      </c>
      <c r="K9" s="136"/>
    </row>
    <row r="10" spans="2:11" ht="25" customHeight="1">
      <c r="B10" s="132"/>
      <c r="C10" s="133"/>
      <c r="D10" s="134">
        <f>COUNTIF(B13:B16,"&lt;&gt;")</f>
        <v>4</v>
      </c>
      <c r="E10" s="135"/>
      <c r="F10" s="103">
        <f>COUNTIF(F13:F18,"=轻微")</f>
        <v>0</v>
      </c>
      <c r="G10" s="104"/>
      <c r="H10" s="103">
        <f>COUNTIF(F13:F18,"=一般")</f>
        <v>1</v>
      </c>
      <c r="I10" s="104"/>
      <c r="J10" s="103">
        <f>COUNTIF(F13:F18,"=严重")</f>
        <v>3</v>
      </c>
      <c r="K10" s="138"/>
    </row>
    <row r="11" spans="2:11" ht="25" customHeight="1">
      <c r="B11" s="107" t="s">
        <v>14</v>
      </c>
      <c r="C11" s="108"/>
      <c r="D11" s="108"/>
      <c r="E11" s="108"/>
      <c r="F11" s="108"/>
      <c r="G11" s="108"/>
      <c r="H11" s="108"/>
      <c r="I11" s="108"/>
      <c r="J11" s="108"/>
      <c r="K11" s="109"/>
    </row>
    <row r="12" spans="2:11" s="4" customFormat="1" ht="25" customHeight="1">
      <c r="B12" s="5" t="s">
        <v>20</v>
      </c>
      <c r="C12" s="128" t="s">
        <v>19</v>
      </c>
      <c r="D12" s="128"/>
      <c r="E12" s="128"/>
      <c r="F12" s="6" t="s">
        <v>21</v>
      </c>
      <c r="G12" s="6" t="s">
        <v>9</v>
      </c>
      <c r="H12" s="6" t="s">
        <v>10</v>
      </c>
      <c r="I12" s="6" t="s">
        <v>11</v>
      </c>
      <c r="J12" s="128" t="s">
        <v>22</v>
      </c>
      <c r="K12" s="129"/>
    </row>
    <row r="13" spans="2:11" ht="88.25" customHeight="1">
      <c r="B13" s="10">
        <v>1</v>
      </c>
      <c r="C13" s="51" t="s">
        <v>241</v>
      </c>
      <c r="D13" s="52"/>
      <c r="E13" s="53"/>
      <c r="F13" s="2" t="s">
        <v>26</v>
      </c>
      <c r="G13" s="2" t="s">
        <v>192</v>
      </c>
      <c r="H13" s="12" t="s">
        <v>193</v>
      </c>
      <c r="I13" s="12" t="s">
        <v>194</v>
      </c>
      <c r="J13" s="51" t="s">
        <v>242</v>
      </c>
      <c r="K13" s="102"/>
    </row>
    <row r="14" spans="2:11" ht="44" customHeight="1">
      <c r="B14" s="10">
        <v>2</v>
      </c>
      <c r="C14" s="51" t="s">
        <v>243</v>
      </c>
      <c r="D14" s="52"/>
      <c r="E14" s="53"/>
      <c r="F14" s="2" t="s">
        <v>52</v>
      </c>
      <c r="G14" s="2" t="s">
        <v>192</v>
      </c>
      <c r="H14" s="12" t="s">
        <v>193</v>
      </c>
      <c r="I14" s="12" t="s">
        <v>194</v>
      </c>
      <c r="J14" s="51" t="s">
        <v>244</v>
      </c>
      <c r="K14" s="102"/>
    </row>
    <row r="15" spans="2:11" ht="41.5" customHeight="1">
      <c r="B15" s="10">
        <v>3</v>
      </c>
      <c r="C15" s="51" t="s">
        <v>246</v>
      </c>
      <c r="D15" s="52"/>
      <c r="E15" s="53"/>
      <c r="F15" s="2" t="s">
        <v>26</v>
      </c>
      <c r="G15" s="2" t="s">
        <v>192</v>
      </c>
      <c r="H15" s="12" t="s">
        <v>193</v>
      </c>
      <c r="I15" s="12" t="s">
        <v>194</v>
      </c>
      <c r="J15" s="51" t="s">
        <v>245</v>
      </c>
      <c r="K15" s="102"/>
    </row>
    <row r="16" spans="2:11" ht="50.25" customHeight="1">
      <c r="B16" s="10">
        <v>4</v>
      </c>
      <c r="C16" s="51" t="s">
        <v>247</v>
      </c>
      <c r="D16" s="52"/>
      <c r="E16" s="53"/>
      <c r="F16" s="2" t="s">
        <v>26</v>
      </c>
      <c r="G16" s="2" t="s">
        <v>192</v>
      </c>
      <c r="H16" s="12" t="s">
        <v>193</v>
      </c>
      <c r="I16" s="12" t="s">
        <v>194</v>
      </c>
      <c r="J16" s="51" t="s">
        <v>245</v>
      </c>
      <c r="K16" s="102"/>
    </row>
    <row r="17" spans="2:11" ht="28.25" customHeight="1">
      <c r="B17" s="107" t="s">
        <v>12</v>
      </c>
      <c r="C17" s="108"/>
      <c r="D17" s="108"/>
      <c r="E17" s="108"/>
      <c r="F17" s="108"/>
      <c r="G17" s="108"/>
      <c r="H17" s="108"/>
      <c r="I17" s="108"/>
      <c r="J17" s="108"/>
      <c r="K17" s="109"/>
    </row>
    <row r="18" spans="2:11" ht="77.25" customHeight="1" thickBot="1">
      <c r="B18" s="110" t="s">
        <v>137</v>
      </c>
      <c r="C18" s="126"/>
      <c r="D18" s="126"/>
      <c r="E18" s="126"/>
      <c r="F18" s="126"/>
      <c r="G18" s="126"/>
      <c r="H18" s="126"/>
      <c r="I18" s="126"/>
      <c r="J18" s="126"/>
      <c r="K18" s="127"/>
    </row>
    <row r="19" spans="2:11" ht="15" thickTop="1"/>
    <row r="40" spans="9:9">
      <c r="I40" s="11"/>
    </row>
  </sheetData>
  <mergeCells count="34">
    <mergeCell ref="C15:E15"/>
    <mergeCell ref="J15:K15"/>
    <mergeCell ref="B17:K17"/>
    <mergeCell ref="B18:K18"/>
    <mergeCell ref="B11:K11"/>
    <mergeCell ref="C12:E12"/>
    <mergeCell ref="J12:K12"/>
    <mergeCell ref="C13:E13"/>
    <mergeCell ref="J13:K13"/>
    <mergeCell ref="C14:E14"/>
    <mergeCell ref="J14:K14"/>
    <mergeCell ref="C16:E16"/>
    <mergeCell ref="J16:K16"/>
    <mergeCell ref="B9:C10"/>
    <mergeCell ref="D9:E9"/>
    <mergeCell ref="F9:G9"/>
    <mergeCell ref="H9:I9"/>
    <mergeCell ref="J9:K9"/>
    <mergeCell ref="D10:E10"/>
    <mergeCell ref="F10:G10"/>
    <mergeCell ref="H10:I10"/>
    <mergeCell ref="J10:K10"/>
    <mergeCell ref="B8:K8"/>
    <mergeCell ref="B1:K1"/>
    <mergeCell ref="B2:K2"/>
    <mergeCell ref="C3:G3"/>
    <mergeCell ref="I3:K3"/>
    <mergeCell ref="B4:E4"/>
    <mergeCell ref="F4:K4"/>
    <mergeCell ref="C5:E5"/>
    <mergeCell ref="F5:G5"/>
    <mergeCell ref="H5:K5"/>
    <mergeCell ref="C6:K6"/>
    <mergeCell ref="B7:K7"/>
  </mergeCells>
  <phoneticPr fontId="1" type="noConversion"/>
  <pageMargins left="0.25" right="0.25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K40"/>
  <sheetViews>
    <sheetView view="pageLayout" topLeftCell="A4" zoomScaleNormal="100" workbookViewId="0">
      <selection activeCell="B8" sqref="B8:K8"/>
    </sheetView>
  </sheetViews>
  <sheetFormatPr baseColWidth="10" defaultColWidth="9" defaultRowHeight="14"/>
  <cols>
    <col min="1" max="1" width="1.1640625" style="1" customWidth="1"/>
    <col min="2" max="2" width="8.5" style="1" customWidth="1"/>
    <col min="3" max="4" width="9" style="1"/>
    <col min="5" max="5" width="4.1640625" style="1" customWidth="1"/>
    <col min="6" max="7" width="9" style="1"/>
    <col min="8" max="8" width="12.1640625" style="1" customWidth="1"/>
    <col min="9" max="9" width="13" style="1" customWidth="1"/>
    <col min="10" max="10" width="9" style="1" customWidth="1"/>
    <col min="11" max="11" width="5.1640625" style="1" customWidth="1"/>
    <col min="12" max="16384" width="9" style="1"/>
  </cols>
  <sheetData>
    <row r="1" spans="2:11" ht="28.25" customHeight="1">
      <c r="B1" s="141" t="s">
        <v>24</v>
      </c>
      <c r="C1" s="141"/>
      <c r="D1" s="141"/>
      <c r="E1" s="141"/>
      <c r="F1" s="141"/>
      <c r="G1" s="141"/>
      <c r="H1" s="141"/>
      <c r="I1" s="141"/>
      <c r="J1" s="141"/>
      <c r="K1" s="141"/>
    </row>
    <row r="2" spans="2:11" ht="28.25" customHeight="1" thickBot="1">
      <c r="B2" s="142" t="s">
        <v>195</v>
      </c>
      <c r="C2" s="142"/>
      <c r="D2" s="142"/>
      <c r="E2" s="142"/>
      <c r="F2" s="142"/>
      <c r="G2" s="142"/>
      <c r="H2" s="142"/>
      <c r="I2" s="142"/>
      <c r="J2" s="142"/>
      <c r="K2" s="142"/>
    </row>
    <row r="3" spans="2:11" ht="25" customHeight="1" thickTop="1">
      <c r="B3" s="9" t="s">
        <v>0</v>
      </c>
      <c r="C3" s="143" t="s">
        <v>239</v>
      </c>
      <c r="D3" s="144"/>
      <c r="E3" s="144"/>
      <c r="F3" s="144"/>
      <c r="G3" s="145"/>
      <c r="H3" s="7" t="s">
        <v>15</v>
      </c>
      <c r="I3" s="146" t="s">
        <v>67</v>
      </c>
      <c r="J3" s="146"/>
      <c r="K3" s="147"/>
    </row>
    <row r="4" spans="2:11" ht="25" customHeight="1">
      <c r="B4" s="107" t="s">
        <v>5</v>
      </c>
      <c r="C4" s="108"/>
      <c r="D4" s="108"/>
      <c r="E4" s="108"/>
      <c r="F4" s="124" t="s">
        <v>197</v>
      </c>
      <c r="G4" s="148"/>
      <c r="H4" s="148"/>
      <c r="I4" s="148"/>
      <c r="J4" s="148"/>
      <c r="K4" s="125"/>
    </row>
    <row r="5" spans="2:11" ht="25" customHeight="1">
      <c r="B5" s="8" t="s">
        <v>6</v>
      </c>
      <c r="C5" s="103" t="s">
        <v>51</v>
      </c>
      <c r="D5" s="120"/>
      <c r="E5" s="104"/>
      <c r="F5" s="118" t="s">
        <v>43</v>
      </c>
      <c r="G5" s="119"/>
      <c r="H5" s="118">
        <v>45890</v>
      </c>
      <c r="I5" s="121"/>
      <c r="J5" s="121"/>
      <c r="K5" s="122"/>
    </row>
    <row r="6" spans="2:11" ht="25" customHeight="1">
      <c r="B6" s="8" t="s">
        <v>7</v>
      </c>
      <c r="C6" s="139" t="s">
        <v>196</v>
      </c>
      <c r="D6" s="139"/>
      <c r="E6" s="139"/>
      <c r="F6" s="139"/>
      <c r="G6" s="139"/>
      <c r="H6" s="139"/>
      <c r="I6" s="139"/>
      <c r="J6" s="139"/>
      <c r="K6" s="140"/>
    </row>
    <row r="7" spans="2:11" ht="25" customHeight="1">
      <c r="B7" s="107" t="s">
        <v>8</v>
      </c>
      <c r="C7" s="108"/>
      <c r="D7" s="108"/>
      <c r="E7" s="108"/>
      <c r="F7" s="108"/>
      <c r="G7" s="108"/>
      <c r="H7" s="108"/>
      <c r="I7" s="108"/>
      <c r="J7" s="108"/>
      <c r="K7" s="109"/>
    </row>
    <row r="8" spans="2:11" ht="150" customHeight="1">
      <c r="B8" s="97" t="s">
        <v>89</v>
      </c>
      <c r="C8" s="139"/>
      <c r="D8" s="139"/>
      <c r="E8" s="139"/>
      <c r="F8" s="139"/>
      <c r="G8" s="139"/>
      <c r="H8" s="139"/>
      <c r="I8" s="139"/>
      <c r="J8" s="139"/>
      <c r="K8" s="140"/>
    </row>
    <row r="9" spans="2:11" ht="25" customHeight="1">
      <c r="B9" s="130" t="s">
        <v>13</v>
      </c>
      <c r="C9" s="131"/>
      <c r="D9" s="134" t="s">
        <v>27</v>
      </c>
      <c r="E9" s="135"/>
      <c r="F9" s="134" t="s">
        <v>16</v>
      </c>
      <c r="G9" s="135"/>
      <c r="H9" s="134" t="s">
        <v>17</v>
      </c>
      <c r="I9" s="135"/>
      <c r="J9" s="134" t="s">
        <v>18</v>
      </c>
      <c r="K9" s="136"/>
    </row>
    <row r="10" spans="2:11" ht="25" customHeight="1">
      <c r="B10" s="132"/>
      <c r="C10" s="133"/>
      <c r="D10" s="134">
        <f>COUNTIF(B13:B15,"&lt;&gt;")</f>
        <v>0</v>
      </c>
      <c r="E10" s="135"/>
      <c r="F10" s="103">
        <f>COUNTIF(F13:F18,"=轻微")</f>
        <v>0</v>
      </c>
      <c r="G10" s="104"/>
      <c r="H10" s="103">
        <f>COUNTIF(F13:F18,"=一般")</f>
        <v>0</v>
      </c>
      <c r="I10" s="104"/>
      <c r="J10" s="103">
        <f>COUNTIF(F13:F18,"=严重")</f>
        <v>0</v>
      </c>
      <c r="K10" s="138"/>
    </row>
    <row r="11" spans="2:11" ht="25" customHeight="1">
      <c r="B11" s="107" t="s">
        <v>14</v>
      </c>
      <c r="C11" s="108"/>
      <c r="D11" s="108"/>
      <c r="E11" s="108"/>
      <c r="F11" s="108"/>
      <c r="G11" s="108"/>
      <c r="H11" s="108"/>
      <c r="I11" s="108"/>
      <c r="J11" s="108"/>
      <c r="K11" s="109"/>
    </row>
    <row r="12" spans="2:11" s="4" customFormat="1" ht="25" customHeight="1">
      <c r="B12" s="5" t="s">
        <v>20</v>
      </c>
      <c r="C12" s="128" t="s">
        <v>19</v>
      </c>
      <c r="D12" s="128"/>
      <c r="E12" s="128"/>
      <c r="F12" s="6" t="s">
        <v>21</v>
      </c>
      <c r="G12" s="6" t="s">
        <v>9</v>
      </c>
      <c r="H12" s="6" t="s">
        <v>10</v>
      </c>
      <c r="I12" s="6" t="s">
        <v>11</v>
      </c>
      <c r="J12" s="128" t="s">
        <v>22</v>
      </c>
      <c r="K12" s="129"/>
    </row>
    <row r="13" spans="2:11" ht="50.25" customHeight="1">
      <c r="B13" s="10"/>
      <c r="C13" s="51"/>
      <c r="D13" s="52"/>
      <c r="E13" s="53"/>
      <c r="F13" s="2"/>
      <c r="G13" s="2"/>
      <c r="H13" s="12"/>
      <c r="I13" s="12"/>
      <c r="J13" s="51"/>
      <c r="K13" s="102"/>
    </row>
    <row r="14" spans="2:11" ht="44" customHeight="1">
      <c r="B14" s="10"/>
      <c r="C14" s="51"/>
      <c r="D14" s="52"/>
      <c r="E14" s="53"/>
      <c r="F14" s="2"/>
      <c r="G14" s="2"/>
      <c r="H14" s="12"/>
      <c r="I14" s="12"/>
      <c r="J14" s="51"/>
      <c r="K14" s="102"/>
    </row>
    <row r="15" spans="2:11" ht="41.5" customHeight="1">
      <c r="B15" s="10"/>
      <c r="C15" s="51"/>
      <c r="D15" s="52"/>
      <c r="E15" s="53"/>
      <c r="F15" s="2"/>
      <c r="G15" s="2"/>
      <c r="H15" s="12"/>
      <c r="I15" s="12"/>
      <c r="J15" s="51"/>
      <c r="K15" s="102"/>
    </row>
    <row r="16" spans="2:11" ht="80" customHeight="1">
      <c r="B16" s="10"/>
      <c r="C16" s="51"/>
      <c r="D16" s="52"/>
      <c r="E16" s="53"/>
      <c r="F16" s="2"/>
      <c r="G16" s="2"/>
      <c r="H16" s="12"/>
      <c r="I16" s="12"/>
      <c r="J16" s="51"/>
      <c r="K16" s="102"/>
    </row>
    <row r="17" spans="2:11" ht="28.25" customHeight="1">
      <c r="B17" s="107" t="s">
        <v>12</v>
      </c>
      <c r="C17" s="108"/>
      <c r="D17" s="108"/>
      <c r="E17" s="108"/>
      <c r="F17" s="108"/>
      <c r="G17" s="108"/>
      <c r="H17" s="108"/>
      <c r="I17" s="108"/>
      <c r="J17" s="108"/>
      <c r="K17" s="109"/>
    </row>
    <row r="18" spans="2:11" ht="72" customHeight="1" thickBot="1">
      <c r="B18" s="110" t="s">
        <v>58</v>
      </c>
      <c r="C18" s="126"/>
      <c r="D18" s="126"/>
      <c r="E18" s="126"/>
      <c r="F18" s="126"/>
      <c r="G18" s="126"/>
      <c r="H18" s="126"/>
      <c r="I18" s="126"/>
      <c r="J18" s="126"/>
      <c r="K18" s="127"/>
    </row>
    <row r="19" spans="2:11" ht="15" thickTop="1"/>
    <row r="40" spans="9:9">
      <c r="I40" s="11"/>
    </row>
  </sheetData>
  <mergeCells count="34">
    <mergeCell ref="B18:K18"/>
    <mergeCell ref="B11:K11"/>
    <mergeCell ref="C12:E12"/>
    <mergeCell ref="J12:K12"/>
    <mergeCell ref="C13:E13"/>
    <mergeCell ref="J13:K13"/>
    <mergeCell ref="C14:E14"/>
    <mergeCell ref="J14:K14"/>
    <mergeCell ref="C15:E15"/>
    <mergeCell ref="J15:K15"/>
    <mergeCell ref="C16:E16"/>
    <mergeCell ref="J16:K16"/>
    <mergeCell ref="B17:K17"/>
    <mergeCell ref="B9:C10"/>
    <mergeCell ref="D9:E9"/>
    <mergeCell ref="F9:G9"/>
    <mergeCell ref="H9:I9"/>
    <mergeCell ref="J9:K9"/>
    <mergeCell ref="D10:E10"/>
    <mergeCell ref="F10:G10"/>
    <mergeCell ref="H10:I10"/>
    <mergeCell ref="J10:K10"/>
    <mergeCell ref="B8:K8"/>
    <mergeCell ref="B1:K1"/>
    <mergeCell ref="B2:K2"/>
    <mergeCell ref="C3:G3"/>
    <mergeCell ref="I3:K3"/>
    <mergeCell ref="B4:E4"/>
    <mergeCell ref="F4:K4"/>
    <mergeCell ref="C5:E5"/>
    <mergeCell ref="F5:G5"/>
    <mergeCell ref="H5:K5"/>
    <mergeCell ref="C6:K6"/>
    <mergeCell ref="B7:K7"/>
  </mergeCells>
  <phoneticPr fontId="1" type="noConversion"/>
  <pageMargins left="0.25" right="0.25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K41"/>
  <sheetViews>
    <sheetView view="pageLayout" zoomScaleNormal="100" workbookViewId="0">
      <selection activeCell="F13" sqref="F13"/>
    </sheetView>
  </sheetViews>
  <sheetFormatPr baseColWidth="10" defaultColWidth="9" defaultRowHeight="14"/>
  <cols>
    <col min="1" max="1" width="1.1640625" style="1" customWidth="1"/>
    <col min="2" max="2" width="9" style="1" customWidth="1"/>
    <col min="3" max="4" width="9" style="1"/>
    <col min="5" max="5" width="6" style="1" customWidth="1"/>
    <col min="6" max="7" width="9" style="1"/>
    <col min="8" max="8" width="12.1640625" style="1" customWidth="1"/>
    <col min="9" max="9" width="13" style="1" customWidth="1"/>
    <col min="10" max="10" width="9" style="1" customWidth="1"/>
    <col min="11" max="11" width="5.83203125" style="1" customWidth="1"/>
    <col min="12" max="16384" width="9" style="1"/>
  </cols>
  <sheetData>
    <row r="1" spans="2:11" ht="28.25" customHeight="1">
      <c r="B1" s="141" t="s">
        <v>24</v>
      </c>
      <c r="C1" s="141"/>
      <c r="D1" s="141"/>
      <c r="E1" s="141"/>
      <c r="F1" s="141"/>
      <c r="G1" s="141"/>
      <c r="H1" s="141"/>
      <c r="I1" s="141"/>
      <c r="J1" s="141"/>
      <c r="K1" s="141"/>
    </row>
    <row r="2" spans="2:11" ht="28.25" customHeight="1" thickBot="1">
      <c r="B2" s="142" t="s">
        <v>198</v>
      </c>
      <c r="C2" s="142"/>
      <c r="D2" s="142"/>
      <c r="E2" s="142"/>
      <c r="F2" s="142"/>
      <c r="G2" s="142"/>
      <c r="H2" s="142"/>
      <c r="I2" s="142"/>
      <c r="J2" s="142"/>
      <c r="K2" s="142"/>
    </row>
    <row r="3" spans="2:11" ht="25" customHeight="1" thickTop="1">
      <c r="B3" s="9" t="s">
        <v>0</v>
      </c>
      <c r="C3" s="143" t="s">
        <v>239</v>
      </c>
      <c r="D3" s="144"/>
      <c r="E3" s="144"/>
      <c r="F3" s="144"/>
      <c r="G3" s="145"/>
      <c r="H3" s="7" t="s">
        <v>15</v>
      </c>
      <c r="I3" s="146" t="s">
        <v>67</v>
      </c>
      <c r="J3" s="146"/>
      <c r="K3" s="147"/>
    </row>
    <row r="4" spans="2:11" ht="25" customHeight="1">
      <c r="B4" s="107" t="s">
        <v>5</v>
      </c>
      <c r="C4" s="108"/>
      <c r="D4" s="108"/>
      <c r="E4" s="108"/>
      <c r="F4" s="124" t="s">
        <v>54</v>
      </c>
      <c r="G4" s="148"/>
      <c r="H4" s="148"/>
      <c r="I4" s="148"/>
      <c r="J4" s="148"/>
      <c r="K4" s="125"/>
    </row>
    <row r="5" spans="2:11" ht="25" customHeight="1">
      <c r="B5" s="8" t="s">
        <v>6</v>
      </c>
      <c r="C5" s="103" t="s">
        <v>51</v>
      </c>
      <c r="D5" s="120"/>
      <c r="E5" s="104"/>
      <c r="F5" s="118" t="s">
        <v>45</v>
      </c>
      <c r="G5" s="119"/>
      <c r="H5" s="118">
        <v>45891</v>
      </c>
      <c r="I5" s="121"/>
      <c r="J5" s="121"/>
      <c r="K5" s="122"/>
    </row>
    <row r="6" spans="2:11" ht="25" customHeight="1">
      <c r="B6" s="8" t="s">
        <v>7</v>
      </c>
      <c r="C6" s="139" t="s">
        <v>199</v>
      </c>
      <c r="D6" s="139"/>
      <c r="E6" s="139"/>
      <c r="F6" s="139"/>
      <c r="G6" s="139"/>
      <c r="H6" s="139"/>
      <c r="I6" s="139"/>
      <c r="J6" s="139"/>
      <c r="K6" s="140"/>
    </row>
    <row r="7" spans="2:11" ht="25" customHeight="1">
      <c r="B7" s="107" t="s">
        <v>8</v>
      </c>
      <c r="C7" s="108"/>
      <c r="D7" s="108"/>
      <c r="E7" s="108"/>
      <c r="F7" s="108"/>
      <c r="G7" s="108"/>
      <c r="H7" s="108"/>
      <c r="I7" s="108"/>
      <c r="J7" s="108"/>
      <c r="K7" s="109"/>
    </row>
    <row r="8" spans="2:11" ht="150" customHeight="1">
      <c r="B8" s="97" t="s">
        <v>42</v>
      </c>
      <c r="C8" s="139"/>
      <c r="D8" s="139"/>
      <c r="E8" s="139"/>
      <c r="F8" s="139"/>
      <c r="G8" s="139"/>
      <c r="H8" s="139"/>
      <c r="I8" s="139"/>
      <c r="J8" s="139"/>
      <c r="K8" s="140"/>
    </row>
    <row r="9" spans="2:11" ht="25" customHeight="1">
      <c r="B9" s="130" t="s">
        <v>13</v>
      </c>
      <c r="C9" s="131"/>
      <c r="D9" s="134" t="s">
        <v>27</v>
      </c>
      <c r="E9" s="135"/>
      <c r="F9" s="134" t="s">
        <v>16</v>
      </c>
      <c r="G9" s="135"/>
      <c r="H9" s="134" t="s">
        <v>17</v>
      </c>
      <c r="I9" s="135"/>
      <c r="J9" s="134" t="s">
        <v>18</v>
      </c>
      <c r="K9" s="136"/>
    </row>
    <row r="10" spans="2:11" ht="25" customHeight="1">
      <c r="B10" s="132"/>
      <c r="C10" s="133"/>
      <c r="D10" s="134">
        <f>COUNTIF(B13:B16,"&lt;&gt;")</f>
        <v>0</v>
      </c>
      <c r="E10" s="135"/>
      <c r="F10" s="103">
        <f>COUNTIF(F13:F16,"=轻微")</f>
        <v>0</v>
      </c>
      <c r="G10" s="104"/>
      <c r="H10" s="103">
        <f>COUNTIF(F13:F16,"=一般")</f>
        <v>0</v>
      </c>
      <c r="I10" s="104"/>
      <c r="J10" s="103">
        <f>COUNTIF(F13:F16,"=严重")</f>
        <v>0</v>
      </c>
      <c r="K10" s="138"/>
    </row>
    <row r="11" spans="2:11" ht="25" customHeight="1">
      <c r="B11" s="107" t="s">
        <v>14</v>
      </c>
      <c r="C11" s="108"/>
      <c r="D11" s="108"/>
      <c r="E11" s="108"/>
      <c r="F11" s="108"/>
      <c r="G11" s="108"/>
      <c r="H11" s="108"/>
      <c r="I11" s="108"/>
      <c r="J11" s="108"/>
      <c r="K11" s="109"/>
    </row>
    <row r="12" spans="2:11" s="4" customFormat="1" ht="25" customHeight="1">
      <c r="B12" s="5" t="s">
        <v>20</v>
      </c>
      <c r="C12" s="128" t="s">
        <v>19</v>
      </c>
      <c r="D12" s="128"/>
      <c r="E12" s="128"/>
      <c r="F12" s="6" t="s">
        <v>21</v>
      </c>
      <c r="G12" s="6" t="s">
        <v>9</v>
      </c>
      <c r="H12" s="6" t="s">
        <v>10</v>
      </c>
      <c r="I12" s="6" t="s">
        <v>11</v>
      </c>
      <c r="J12" s="128" t="s">
        <v>22</v>
      </c>
      <c r="K12" s="129"/>
    </row>
    <row r="13" spans="2:11" ht="28.25" customHeight="1">
      <c r="B13" s="10"/>
      <c r="C13" s="103"/>
      <c r="D13" s="120"/>
      <c r="E13" s="104"/>
      <c r="F13" s="2"/>
      <c r="G13" s="2"/>
      <c r="H13" s="2"/>
      <c r="I13" s="2"/>
      <c r="J13" s="124"/>
      <c r="K13" s="125"/>
    </row>
    <row r="14" spans="2:11" ht="28.25" customHeight="1">
      <c r="B14" s="10"/>
      <c r="C14" s="103"/>
      <c r="D14" s="120"/>
      <c r="E14" s="104"/>
      <c r="F14" s="2"/>
      <c r="G14" s="2"/>
      <c r="H14" s="2"/>
      <c r="I14" s="2"/>
      <c r="J14" s="124"/>
      <c r="K14" s="125"/>
    </row>
    <row r="15" spans="2:11" ht="28.25" customHeight="1">
      <c r="B15" s="10"/>
      <c r="C15" s="103"/>
      <c r="D15" s="120"/>
      <c r="E15" s="104"/>
      <c r="F15" s="2"/>
      <c r="G15" s="2"/>
      <c r="H15" s="2"/>
      <c r="I15" s="2"/>
      <c r="J15" s="124"/>
      <c r="K15" s="125"/>
    </row>
    <row r="16" spans="2:11" ht="28.25" customHeight="1">
      <c r="B16" s="10"/>
      <c r="C16" s="103"/>
      <c r="D16" s="120"/>
      <c r="E16" s="104"/>
      <c r="F16" s="2"/>
      <c r="G16" s="2"/>
      <c r="H16" s="2"/>
      <c r="I16" s="2"/>
      <c r="J16" s="124"/>
      <c r="K16" s="125"/>
    </row>
    <row r="17" spans="2:11" ht="28.25" customHeight="1">
      <c r="B17" s="107" t="s">
        <v>12</v>
      </c>
      <c r="C17" s="108"/>
      <c r="D17" s="108"/>
      <c r="E17" s="108"/>
      <c r="F17" s="108"/>
      <c r="G17" s="108"/>
      <c r="H17" s="108"/>
      <c r="I17" s="108"/>
      <c r="J17" s="108"/>
      <c r="K17" s="109"/>
    </row>
    <row r="18" spans="2:11" ht="72" customHeight="1" thickBot="1">
      <c r="B18" s="110" t="s">
        <v>23</v>
      </c>
      <c r="C18" s="126"/>
      <c r="D18" s="126"/>
      <c r="E18" s="126"/>
      <c r="F18" s="126"/>
      <c r="G18" s="126"/>
      <c r="H18" s="126"/>
      <c r="I18" s="126"/>
      <c r="J18" s="126"/>
      <c r="K18" s="127"/>
    </row>
    <row r="19" spans="2:11" ht="15" thickTop="1"/>
    <row r="41" spans="9:9">
      <c r="I41" s="11">
        <v>42956</v>
      </c>
    </row>
  </sheetData>
  <mergeCells count="34">
    <mergeCell ref="C16:E16"/>
    <mergeCell ref="J13:K13"/>
    <mergeCell ref="J14:K14"/>
    <mergeCell ref="J15:K15"/>
    <mergeCell ref="J16:K16"/>
    <mergeCell ref="C14:E14"/>
    <mergeCell ref="C15:E15"/>
    <mergeCell ref="C13:E13"/>
    <mergeCell ref="B9:C10"/>
    <mergeCell ref="D10:E10"/>
    <mergeCell ref="B11:K11"/>
    <mergeCell ref="F9:G9"/>
    <mergeCell ref="H9:I9"/>
    <mergeCell ref="D9:E9"/>
    <mergeCell ref="J9:K9"/>
    <mergeCell ref="F10:G10"/>
    <mergeCell ref="H10:I10"/>
    <mergeCell ref="J10:K10"/>
    <mergeCell ref="C5:E5"/>
    <mergeCell ref="H5:K5"/>
    <mergeCell ref="B17:K17"/>
    <mergeCell ref="B18:K18"/>
    <mergeCell ref="B1:K1"/>
    <mergeCell ref="B2:K2"/>
    <mergeCell ref="C3:G3"/>
    <mergeCell ref="F4:K4"/>
    <mergeCell ref="F5:G5"/>
    <mergeCell ref="B4:E4"/>
    <mergeCell ref="J12:K12"/>
    <mergeCell ref="C12:E12"/>
    <mergeCell ref="I3:K3"/>
    <mergeCell ref="C6:K6"/>
    <mergeCell ref="B7:K7"/>
    <mergeCell ref="B8:K8"/>
  </mergeCells>
  <phoneticPr fontId="1" type="noConversion"/>
  <pageMargins left="0.25" right="0.25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K39"/>
  <sheetViews>
    <sheetView view="pageLayout" zoomScaleNormal="100" workbookViewId="0">
      <selection activeCell="B17" sqref="B17:K17"/>
    </sheetView>
  </sheetViews>
  <sheetFormatPr baseColWidth="10" defaultColWidth="9" defaultRowHeight="14"/>
  <cols>
    <col min="1" max="1" width="1.1640625" style="1" customWidth="1"/>
    <col min="2" max="2" width="8.33203125" style="1" customWidth="1"/>
    <col min="3" max="4" width="9" style="1"/>
    <col min="5" max="5" width="4.33203125" style="1" customWidth="1"/>
    <col min="6" max="7" width="9" style="1"/>
    <col min="8" max="8" width="12.1640625" style="1" customWidth="1"/>
    <col min="9" max="9" width="13" style="1" customWidth="1"/>
    <col min="10" max="10" width="9" style="1" customWidth="1"/>
    <col min="11" max="11" width="5.6640625" style="1" customWidth="1"/>
    <col min="12" max="16384" width="9" style="1"/>
  </cols>
  <sheetData>
    <row r="1" spans="2:11" ht="28.25" customHeight="1">
      <c r="B1" s="141" t="s">
        <v>24</v>
      </c>
      <c r="C1" s="141"/>
      <c r="D1" s="141"/>
      <c r="E1" s="141"/>
      <c r="F1" s="141"/>
      <c r="G1" s="141"/>
      <c r="H1" s="141"/>
      <c r="I1" s="141"/>
      <c r="J1" s="141"/>
      <c r="K1" s="141"/>
    </row>
    <row r="2" spans="2:11" ht="28.25" customHeight="1" thickBot="1">
      <c r="B2" s="142" t="s">
        <v>200</v>
      </c>
      <c r="C2" s="142"/>
      <c r="D2" s="142"/>
      <c r="E2" s="142"/>
      <c r="F2" s="142"/>
      <c r="G2" s="142"/>
      <c r="H2" s="142"/>
      <c r="I2" s="142"/>
      <c r="J2" s="142"/>
      <c r="K2" s="142"/>
    </row>
    <row r="3" spans="2:11" ht="25" customHeight="1" thickTop="1">
      <c r="B3" s="9" t="s">
        <v>0</v>
      </c>
      <c r="C3" s="143" t="s">
        <v>239</v>
      </c>
      <c r="D3" s="144"/>
      <c r="E3" s="144"/>
      <c r="F3" s="144"/>
      <c r="G3" s="145"/>
      <c r="H3" s="7" t="s">
        <v>15</v>
      </c>
      <c r="I3" s="146" t="s">
        <v>67</v>
      </c>
      <c r="J3" s="146"/>
      <c r="K3" s="147"/>
    </row>
    <row r="4" spans="2:11" ht="25" customHeight="1">
      <c r="B4" s="107" t="s">
        <v>5</v>
      </c>
      <c r="C4" s="108"/>
      <c r="D4" s="108"/>
      <c r="E4" s="108"/>
      <c r="F4" s="124" t="s">
        <v>75</v>
      </c>
      <c r="G4" s="148"/>
      <c r="H4" s="148"/>
      <c r="I4" s="148"/>
      <c r="J4" s="148"/>
      <c r="K4" s="125"/>
    </row>
    <row r="5" spans="2:11" ht="25" customHeight="1">
      <c r="B5" s="8" t="s">
        <v>6</v>
      </c>
      <c r="C5" s="103" t="s">
        <v>51</v>
      </c>
      <c r="D5" s="120"/>
      <c r="E5" s="104"/>
      <c r="F5" s="118" t="s">
        <v>43</v>
      </c>
      <c r="G5" s="119"/>
      <c r="H5" s="118">
        <v>45894</v>
      </c>
      <c r="I5" s="121"/>
      <c r="J5" s="121"/>
      <c r="K5" s="122"/>
    </row>
    <row r="6" spans="2:11" ht="25" customHeight="1">
      <c r="B6" s="8" t="s">
        <v>7</v>
      </c>
      <c r="C6" s="139" t="s">
        <v>201</v>
      </c>
      <c r="D6" s="139"/>
      <c r="E6" s="139"/>
      <c r="F6" s="139"/>
      <c r="G6" s="139"/>
      <c r="H6" s="139"/>
      <c r="I6" s="139"/>
      <c r="J6" s="139"/>
      <c r="K6" s="140"/>
    </row>
    <row r="7" spans="2:11" ht="25" customHeight="1">
      <c r="B7" s="107" t="s">
        <v>8</v>
      </c>
      <c r="C7" s="108"/>
      <c r="D7" s="108"/>
      <c r="E7" s="108"/>
      <c r="F7" s="108"/>
      <c r="G7" s="108"/>
      <c r="H7" s="108"/>
      <c r="I7" s="108"/>
      <c r="J7" s="108"/>
      <c r="K7" s="109"/>
    </row>
    <row r="8" spans="2:11" ht="117" customHeight="1">
      <c r="B8" s="97" t="s">
        <v>114</v>
      </c>
      <c r="C8" s="139"/>
      <c r="D8" s="139"/>
      <c r="E8" s="139"/>
      <c r="F8" s="139"/>
      <c r="G8" s="139"/>
      <c r="H8" s="139"/>
      <c r="I8" s="139"/>
      <c r="J8" s="139"/>
      <c r="K8" s="140"/>
    </row>
    <row r="9" spans="2:11" ht="25" customHeight="1">
      <c r="B9" s="130" t="s">
        <v>13</v>
      </c>
      <c r="C9" s="131"/>
      <c r="D9" s="134" t="s">
        <v>27</v>
      </c>
      <c r="E9" s="135"/>
      <c r="F9" s="134" t="s">
        <v>16</v>
      </c>
      <c r="G9" s="135"/>
      <c r="H9" s="134" t="s">
        <v>17</v>
      </c>
      <c r="I9" s="135"/>
      <c r="J9" s="134" t="s">
        <v>18</v>
      </c>
      <c r="K9" s="136"/>
    </row>
    <row r="10" spans="2:11" ht="25" customHeight="1">
      <c r="B10" s="132"/>
      <c r="C10" s="133"/>
      <c r="D10" s="134">
        <f>COUNTIF(B13:B15,"&lt;&gt;")</f>
        <v>2</v>
      </c>
      <c r="E10" s="135"/>
      <c r="F10" s="103">
        <f>COUNTIF(F13:F17,"=轻微")</f>
        <v>0</v>
      </c>
      <c r="G10" s="104"/>
      <c r="H10" s="103">
        <f>COUNTIF(F13:F17,"=一般")</f>
        <v>2</v>
      </c>
      <c r="I10" s="104"/>
      <c r="J10" s="103">
        <f>COUNTIF(F13:F17,"=严重")</f>
        <v>0</v>
      </c>
      <c r="K10" s="138"/>
    </row>
    <row r="11" spans="2:11" ht="25" customHeight="1">
      <c r="B11" s="107" t="s">
        <v>14</v>
      </c>
      <c r="C11" s="108"/>
      <c r="D11" s="108"/>
      <c r="E11" s="108"/>
      <c r="F11" s="108"/>
      <c r="G11" s="108"/>
      <c r="H11" s="108"/>
      <c r="I11" s="108"/>
      <c r="J11" s="108"/>
      <c r="K11" s="109"/>
    </row>
    <row r="12" spans="2:11" s="4" customFormat="1" ht="25" customHeight="1">
      <c r="B12" s="5" t="s">
        <v>20</v>
      </c>
      <c r="C12" s="128" t="s">
        <v>19</v>
      </c>
      <c r="D12" s="128"/>
      <c r="E12" s="128"/>
      <c r="F12" s="6" t="s">
        <v>21</v>
      </c>
      <c r="G12" s="6" t="s">
        <v>9</v>
      </c>
      <c r="H12" s="6" t="s">
        <v>10</v>
      </c>
      <c r="I12" s="6" t="s">
        <v>11</v>
      </c>
      <c r="J12" s="128" t="s">
        <v>22</v>
      </c>
      <c r="K12" s="129"/>
    </row>
    <row r="13" spans="2:11" ht="50.25" customHeight="1">
      <c r="B13" s="10">
        <v>1</v>
      </c>
      <c r="C13" s="51" t="s">
        <v>78</v>
      </c>
      <c r="D13" s="52"/>
      <c r="E13" s="53"/>
      <c r="F13" s="2" t="s">
        <v>52</v>
      </c>
      <c r="G13" s="2" t="s">
        <v>150</v>
      </c>
      <c r="H13" s="12" t="s">
        <v>202</v>
      </c>
      <c r="I13" s="12" t="s">
        <v>237</v>
      </c>
      <c r="J13" s="51" t="s">
        <v>91</v>
      </c>
      <c r="K13" s="102"/>
    </row>
    <row r="14" spans="2:11" ht="67.5" customHeight="1">
      <c r="B14" s="10">
        <v>2</v>
      </c>
      <c r="C14" s="51" t="s">
        <v>90</v>
      </c>
      <c r="D14" s="52"/>
      <c r="E14" s="53"/>
      <c r="F14" s="2" t="s">
        <v>52</v>
      </c>
      <c r="G14" s="2" t="s">
        <v>150</v>
      </c>
      <c r="H14" s="12" t="s">
        <v>202</v>
      </c>
      <c r="I14" s="12" t="s">
        <v>237</v>
      </c>
      <c r="J14" s="51" t="s">
        <v>92</v>
      </c>
      <c r="K14" s="102"/>
    </row>
    <row r="15" spans="2:11" ht="28.25" customHeight="1">
      <c r="B15" s="10"/>
      <c r="C15" s="103"/>
      <c r="D15" s="120"/>
      <c r="E15" s="104"/>
      <c r="F15" s="2"/>
      <c r="G15" s="2"/>
      <c r="H15" s="2"/>
      <c r="I15" s="2"/>
      <c r="J15" s="124"/>
      <c r="K15" s="125"/>
    </row>
    <row r="16" spans="2:11" ht="28.25" customHeight="1">
      <c r="B16" s="107" t="s">
        <v>12</v>
      </c>
      <c r="C16" s="108"/>
      <c r="D16" s="108"/>
      <c r="E16" s="108"/>
      <c r="F16" s="108"/>
      <c r="G16" s="108"/>
      <c r="H16" s="108"/>
      <c r="I16" s="108"/>
      <c r="J16" s="108"/>
      <c r="K16" s="109"/>
    </row>
    <row r="17" spans="2:11" ht="72" customHeight="1" thickBot="1">
      <c r="B17" s="110" t="s">
        <v>137</v>
      </c>
      <c r="C17" s="126"/>
      <c r="D17" s="126"/>
      <c r="E17" s="126"/>
      <c r="F17" s="126"/>
      <c r="G17" s="126"/>
      <c r="H17" s="126"/>
      <c r="I17" s="126"/>
      <c r="J17" s="126"/>
      <c r="K17" s="127"/>
    </row>
    <row r="18" spans="2:11" ht="15" thickTop="1"/>
    <row r="39" spans="9:9">
      <c r="I39" s="11"/>
    </row>
  </sheetData>
  <mergeCells count="32">
    <mergeCell ref="C15:E15"/>
    <mergeCell ref="J15:K15"/>
    <mergeCell ref="B16:K16"/>
    <mergeCell ref="B17:K17"/>
    <mergeCell ref="B11:K11"/>
    <mergeCell ref="C12:E12"/>
    <mergeCell ref="J12:K12"/>
    <mergeCell ref="C13:E13"/>
    <mergeCell ref="J13:K13"/>
    <mergeCell ref="C14:E14"/>
    <mergeCell ref="J14:K14"/>
    <mergeCell ref="B9:C10"/>
    <mergeCell ref="D9:E9"/>
    <mergeCell ref="F9:G9"/>
    <mergeCell ref="H9:I9"/>
    <mergeCell ref="J9:K9"/>
    <mergeCell ref="D10:E10"/>
    <mergeCell ref="F10:G10"/>
    <mergeCell ref="H10:I10"/>
    <mergeCell ref="J10:K10"/>
    <mergeCell ref="B8:K8"/>
    <mergeCell ref="B1:K1"/>
    <mergeCell ref="B2:K2"/>
    <mergeCell ref="C3:G3"/>
    <mergeCell ref="I3:K3"/>
    <mergeCell ref="B4:E4"/>
    <mergeCell ref="F4:K4"/>
    <mergeCell ref="C5:E5"/>
    <mergeCell ref="F5:G5"/>
    <mergeCell ref="H5:K5"/>
    <mergeCell ref="C6:K6"/>
    <mergeCell ref="B7:K7"/>
  </mergeCells>
  <phoneticPr fontId="1" type="noConversion"/>
  <pageMargins left="0.25" right="0.25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K38"/>
  <sheetViews>
    <sheetView view="pageLayout" topLeftCell="A11" zoomScaleNormal="100" workbookViewId="0">
      <selection activeCell="B16" sqref="B16:K16"/>
    </sheetView>
  </sheetViews>
  <sheetFormatPr baseColWidth="10" defaultColWidth="9" defaultRowHeight="14"/>
  <cols>
    <col min="1" max="1" width="1.1640625" style="1" customWidth="1"/>
    <col min="2" max="2" width="9" style="1" customWidth="1"/>
    <col min="3" max="4" width="9" style="1"/>
    <col min="5" max="5" width="5.33203125" style="1" customWidth="1"/>
    <col min="6" max="7" width="9" style="1"/>
    <col min="8" max="8" width="12.1640625" style="1" customWidth="1"/>
    <col min="9" max="9" width="13" style="1" customWidth="1"/>
    <col min="10" max="10" width="9" style="1" customWidth="1"/>
    <col min="11" max="11" width="5" style="1" customWidth="1"/>
    <col min="12" max="16384" width="9" style="1"/>
  </cols>
  <sheetData>
    <row r="1" spans="2:11" ht="28.25" customHeight="1">
      <c r="B1" s="141" t="s">
        <v>24</v>
      </c>
      <c r="C1" s="141"/>
      <c r="D1" s="141"/>
      <c r="E1" s="141"/>
      <c r="F1" s="141"/>
      <c r="G1" s="141"/>
      <c r="H1" s="141"/>
      <c r="I1" s="141"/>
      <c r="J1" s="141"/>
      <c r="K1" s="141"/>
    </row>
    <row r="2" spans="2:11" ht="28.25" customHeight="1" thickBot="1">
      <c r="B2" s="142" t="s">
        <v>203</v>
      </c>
      <c r="C2" s="142"/>
      <c r="D2" s="142"/>
      <c r="E2" s="142"/>
      <c r="F2" s="142"/>
      <c r="G2" s="142"/>
      <c r="H2" s="142"/>
      <c r="I2" s="142"/>
      <c r="J2" s="142"/>
      <c r="K2" s="142"/>
    </row>
    <row r="3" spans="2:11" ht="25" customHeight="1" thickTop="1">
      <c r="B3" s="9" t="s">
        <v>0</v>
      </c>
      <c r="C3" s="143" t="s">
        <v>239</v>
      </c>
      <c r="D3" s="144"/>
      <c r="E3" s="144"/>
      <c r="F3" s="144"/>
      <c r="G3" s="145"/>
      <c r="H3" s="7" t="s">
        <v>15</v>
      </c>
      <c r="I3" s="146" t="s">
        <v>67</v>
      </c>
      <c r="J3" s="146"/>
      <c r="K3" s="147"/>
    </row>
    <row r="4" spans="2:11" ht="25" customHeight="1">
      <c r="B4" s="107" t="s">
        <v>5</v>
      </c>
      <c r="C4" s="108"/>
      <c r="D4" s="108"/>
      <c r="E4" s="108"/>
      <c r="F4" s="124" t="s">
        <v>70</v>
      </c>
      <c r="G4" s="148"/>
      <c r="H4" s="148"/>
      <c r="I4" s="148"/>
      <c r="J4" s="148"/>
      <c r="K4" s="125"/>
    </row>
    <row r="5" spans="2:11" ht="25" customHeight="1">
      <c r="B5" s="8" t="s">
        <v>6</v>
      </c>
      <c r="C5" s="103" t="s">
        <v>51</v>
      </c>
      <c r="D5" s="120"/>
      <c r="E5" s="104"/>
      <c r="F5" s="118" t="s">
        <v>43</v>
      </c>
      <c r="G5" s="119"/>
      <c r="H5" s="118">
        <v>45894</v>
      </c>
      <c r="I5" s="121"/>
      <c r="J5" s="121"/>
      <c r="K5" s="122"/>
    </row>
    <row r="6" spans="2:11" ht="25" customHeight="1">
      <c r="B6" s="8" t="s">
        <v>7</v>
      </c>
      <c r="C6" s="139" t="s">
        <v>204</v>
      </c>
      <c r="D6" s="139"/>
      <c r="E6" s="139"/>
      <c r="F6" s="139"/>
      <c r="G6" s="139"/>
      <c r="H6" s="139"/>
      <c r="I6" s="139"/>
      <c r="J6" s="139"/>
      <c r="K6" s="140"/>
    </row>
    <row r="7" spans="2:11" ht="25" customHeight="1">
      <c r="B7" s="107" t="s">
        <v>8</v>
      </c>
      <c r="C7" s="108"/>
      <c r="D7" s="108"/>
      <c r="E7" s="108"/>
      <c r="F7" s="108"/>
      <c r="G7" s="108"/>
      <c r="H7" s="108"/>
      <c r="I7" s="108"/>
      <c r="J7" s="108"/>
      <c r="K7" s="109"/>
    </row>
    <row r="8" spans="2:11" ht="150" customHeight="1">
      <c r="B8" s="97" t="s">
        <v>210</v>
      </c>
      <c r="C8" s="139"/>
      <c r="D8" s="139"/>
      <c r="E8" s="139"/>
      <c r="F8" s="139"/>
      <c r="G8" s="139"/>
      <c r="H8" s="139"/>
      <c r="I8" s="139"/>
      <c r="J8" s="139"/>
      <c r="K8" s="140"/>
    </row>
    <row r="9" spans="2:11" ht="25" customHeight="1">
      <c r="B9" s="130" t="s">
        <v>13</v>
      </c>
      <c r="C9" s="131"/>
      <c r="D9" s="134" t="s">
        <v>27</v>
      </c>
      <c r="E9" s="135"/>
      <c r="F9" s="134" t="s">
        <v>16</v>
      </c>
      <c r="G9" s="135"/>
      <c r="H9" s="134" t="s">
        <v>17</v>
      </c>
      <c r="I9" s="135"/>
      <c r="J9" s="134" t="s">
        <v>18</v>
      </c>
      <c r="K9" s="136"/>
    </row>
    <row r="10" spans="2:11" ht="25" customHeight="1">
      <c r="B10" s="132"/>
      <c r="C10" s="133"/>
      <c r="D10" s="134">
        <f>COUNTIF(B13:B14,"&lt;&gt;")</f>
        <v>1</v>
      </c>
      <c r="E10" s="135"/>
      <c r="F10" s="103">
        <f>COUNTIF(F13:F16,"=轻微")</f>
        <v>0</v>
      </c>
      <c r="G10" s="104"/>
      <c r="H10" s="103">
        <f>COUNTIF(F13:F16,"=一般")</f>
        <v>1</v>
      </c>
      <c r="I10" s="104"/>
      <c r="J10" s="103">
        <f>COUNTIF(F13:F16,"=严重")</f>
        <v>0</v>
      </c>
      <c r="K10" s="138"/>
    </row>
    <row r="11" spans="2:11" ht="25" customHeight="1">
      <c r="B11" s="107" t="s">
        <v>14</v>
      </c>
      <c r="C11" s="108"/>
      <c r="D11" s="108"/>
      <c r="E11" s="108"/>
      <c r="F11" s="108"/>
      <c r="G11" s="108"/>
      <c r="H11" s="108"/>
      <c r="I11" s="108"/>
      <c r="J11" s="108"/>
      <c r="K11" s="109"/>
    </row>
    <row r="12" spans="2:11" s="4" customFormat="1" ht="25" customHeight="1">
      <c r="B12" s="5" t="s">
        <v>20</v>
      </c>
      <c r="C12" s="128" t="s">
        <v>19</v>
      </c>
      <c r="D12" s="128"/>
      <c r="E12" s="128"/>
      <c r="F12" s="6" t="s">
        <v>21</v>
      </c>
      <c r="G12" s="6" t="s">
        <v>9</v>
      </c>
      <c r="H12" s="6" t="s">
        <v>10</v>
      </c>
      <c r="I12" s="6" t="s">
        <v>11</v>
      </c>
      <c r="J12" s="128" t="s">
        <v>22</v>
      </c>
      <c r="K12" s="129"/>
    </row>
    <row r="13" spans="2:11" ht="50.25" customHeight="1">
      <c r="B13" s="10">
        <v>1</v>
      </c>
      <c r="C13" s="51" t="s">
        <v>205</v>
      </c>
      <c r="D13" s="52"/>
      <c r="E13" s="53"/>
      <c r="F13" s="2" t="s">
        <v>206</v>
      </c>
      <c r="G13" s="2" t="s">
        <v>192</v>
      </c>
      <c r="H13" s="12" t="s">
        <v>207</v>
      </c>
      <c r="I13" s="12" t="s">
        <v>208</v>
      </c>
      <c r="J13" s="51" t="s">
        <v>209</v>
      </c>
      <c r="K13" s="102"/>
    </row>
    <row r="14" spans="2:11" ht="28.25" customHeight="1">
      <c r="B14" s="10"/>
      <c r="C14" s="103"/>
      <c r="D14" s="120"/>
      <c r="E14" s="104"/>
      <c r="F14" s="2"/>
      <c r="G14" s="2"/>
      <c r="H14" s="2"/>
      <c r="I14" s="2"/>
      <c r="J14" s="124"/>
      <c r="K14" s="125"/>
    </row>
    <row r="15" spans="2:11" ht="28.25" customHeight="1">
      <c r="B15" s="107" t="s">
        <v>12</v>
      </c>
      <c r="C15" s="108"/>
      <c r="D15" s="108"/>
      <c r="E15" s="108"/>
      <c r="F15" s="108"/>
      <c r="G15" s="108"/>
      <c r="H15" s="108"/>
      <c r="I15" s="108"/>
      <c r="J15" s="108"/>
      <c r="K15" s="109"/>
    </row>
    <row r="16" spans="2:11" ht="72" customHeight="1" thickBot="1">
      <c r="B16" s="110" t="s">
        <v>249</v>
      </c>
      <c r="C16" s="126"/>
      <c r="D16" s="126"/>
      <c r="E16" s="126"/>
      <c r="F16" s="126"/>
      <c r="G16" s="126"/>
      <c r="H16" s="126"/>
      <c r="I16" s="126"/>
      <c r="J16" s="126"/>
      <c r="K16" s="127"/>
    </row>
    <row r="17" ht="15" thickTop="1"/>
    <row r="38" spans="9:9">
      <c r="I38" s="11"/>
    </row>
  </sheetData>
  <mergeCells count="30">
    <mergeCell ref="C14:E14"/>
    <mergeCell ref="J14:K14"/>
    <mergeCell ref="B15:K15"/>
    <mergeCell ref="B16:K16"/>
    <mergeCell ref="B11:K11"/>
    <mergeCell ref="C12:E12"/>
    <mergeCell ref="J12:K12"/>
    <mergeCell ref="C13:E13"/>
    <mergeCell ref="J13:K13"/>
    <mergeCell ref="B9:C10"/>
    <mergeCell ref="D9:E9"/>
    <mergeCell ref="F9:G9"/>
    <mergeCell ref="H9:I9"/>
    <mergeCell ref="J9:K9"/>
    <mergeCell ref="D10:E10"/>
    <mergeCell ref="F10:G10"/>
    <mergeCell ref="H10:I10"/>
    <mergeCell ref="J10:K10"/>
    <mergeCell ref="B8:K8"/>
    <mergeCell ref="B1:K1"/>
    <mergeCell ref="B2:K2"/>
    <mergeCell ref="C3:G3"/>
    <mergeCell ref="I3:K3"/>
    <mergeCell ref="B4:E4"/>
    <mergeCell ref="F4:K4"/>
    <mergeCell ref="C5:E5"/>
    <mergeCell ref="F5:G5"/>
    <mergeCell ref="H5:K5"/>
    <mergeCell ref="C6:K6"/>
    <mergeCell ref="B7:K7"/>
  </mergeCells>
  <phoneticPr fontId="1" type="noConversion"/>
  <pageMargins left="0.25" right="0.25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39"/>
  <sheetViews>
    <sheetView showWhiteSpace="0" view="pageLayout" topLeftCell="A7" zoomScaleNormal="100" workbookViewId="0">
      <selection activeCell="C13" sqref="C13:E13"/>
    </sheetView>
  </sheetViews>
  <sheetFormatPr baseColWidth="10" defaultColWidth="9" defaultRowHeight="14"/>
  <cols>
    <col min="1" max="1" width="1.1640625" style="1" customWidth="1"/>
    <col min="2" max="2" width="10.33203125" style="1" customWidth="1"/>
    <col min="3" max="4" width="9" style="1"/>
    <col min="5" max="5" width="6.33203125" style="1" customWidth="1"/>
    <col min="6" max="7" width="9" style="1"/>
    <col min="8" max="8" width="10.33203125" style="1" customWidth="1"/>
    <col min="9" max="9" width="12.1640625" style="1" customWidth="1"/>
    <col min="10" max="10" width="9" style="1" customWidth="1"/>
    <col min="11" max="11" width="3.6640625" style="1" customWidth="1"/>
    <col min="12" max="16384" width="9" style="1"/>
  </cols>
  <sheetData>
    <row r="1" spans="1:11" ht="28.25" customHeight="1">
      <c r="B1" s="141" t="s">
        <v>24</v>
      </c>
      <c r="C1" s="141"/>
      <c r="D1" s="141"/>
      <c r="E1" s="141"/>
      <c r="F1" s="141"/>
      <c r="G1" s="141"/>
      <c r="H1" s="141"/>
      <c r="I1" s="141"/>
      <c r="J1" s="141"/>
      <c r="K1" s="141"/>
    </row>
    <row r="2" spans="1:11" ht="28.25" customHeight="1" thickBot="1">
      <c r="B2" s="142" t="s">
        <v>211</v>
      </c>
      <c r="C2" s="142"/>
      <c r="D2" s="142"/>
      <c r="E2" s="142"/>
      <c r="F2" s="142"/>
      <c r="G2" s="142"/>
      <c r="H2" s="142"/>
      <c r="I2" s="142"/>
      <c r="J2" s="142"/>
      <c r="K2" s="142"/>
    </row>
    <row r="3" spans="1:11" ht="25" customHeight="1" thickTop="1">
      <c r="B3" s="9" t="s">
        <v>0</v>
      </c>
      <c r="C3" s="143" t="s">
        <v>239</v>
      </c>
      <c r="D3" s="144"/>
      <c r="E3" s="144"/>
      <c r="F3" s="144"/>
      <c r="G3" s="145"/>
      <c r="H3" s="7" t="s">
        <v>15</v>
      </c>
      <c r="I3" s="146" t="s">
        <v>67</v>
      </c>
      <c r="J3" s="146"/>
      <c r="K3" s="147"/>
    </row>
    <row r="4" spans="1:11" ht="25" customHeight="1">
      <c r="B4" s="107" t="s">
        <v>5</v>
      </c>
      <c r="C4" s="108"/>
      <c r="D4" s="108"/>
      <c r="E4" s="108"/>
      <c r="F4" s="124" t="s">
        <v>53</v>
      </c>
      <c r="G4" s="148"/>
      <c r="H4" s="148"/>
      <c r="I4" s="148"/>
      <c r="J4" s="148"/>
      <c r="K4" s="125"/>
    </row>
    <row r="5" spans="1:11" ht="25" customHeight="1">
      <c r="B5" s="8" t="s">
        <v>6</v>
      </c>
      <c r="C5" s="103" t="s">
        <v>51</v>
      </c>
      <c r="D5" s="120"/>
      <c r="E5" s="104"/>
      <c r="F5" s="118" t="s">
        <v>43</v>
      </c>
      <c r="G5" s="119"/>
      <c r="H5" s="118">
        <v>45894</v>
      </c>
      <c r="I5" s="121"/>
      <c r="J5" s="121"/>
      <c r="K5" s="122"/>
    </row>
    <row r="6" spans="1:11" ht="25" customHeight="1">
      <c r="B6" s="8" t="s">
        <v>7</v>
      </c>
      <c r="C6" s="139" t="s">
        <v>212</v>
      </c>
      <c r="D6" s="139"/>
      <c r="E6" s="139"/>
      <c r="F6" s="139"/>
      <c r="G6" s="139"/>
      <c r="H6" s="139"/>
      <c r="I6" s="139"/>
      <c r="J6" s="139"/>
      <c r="K6" s="140"/>
    </row>
    <row r="7" spans="1:11" ht="25" customHeight="1">
      <c r="B7" s="107" t="s">
        <v>8</v>
      </c>
      <c r="C7" s="108"/>
      <c r="D7" s="108"/>
      <c r="E7" s="108"/>
      <c r="F7" s="108"/>
      <c r="G7" s="108"/>
      <c r="H7" s="108"/>
      <c r="I7" s="108"/>
      <c r="J7" s="108"/>
      <c r="K7" s="109"/>
    </row>
    <row r="8" spans="1:11" ht="150" customHeight="1">
      <c r="B8" s="97" t="s">
        <v>213</v>
      </c>
      <c r="C8" s="139"/>
      <c r="D8" s="139"/>
      <c r="E8" s="139"/>
      <c r="F8" s="139"/>
      <c r="G8" s="139"/>
      <c r="H8" s="139"/>
      <c r="I8" s="139"/>
      <c r="J8" s="139"/>
      <c r="K8" s="140"/>
    </row>
    <row r="9" spans="1:11" ht="25" customHeight="1">
      <c r="B9" s="130" t="s">
        <v>13</v>
      </c>
      <c r="C9" s="131"/>
      <c r="D9" s="134" t="s">
        <v>27</v>
      </c>
      <c r="E9" s="135"/>
      <c r="F9" s="134" t="s">
        <v>16</v>
      </c>
      <c r="G9" s="135"/>
      <c r="H9" s="134" t="s">
        <v>17</v>
      </c>
      <c r="I9" s="135"/>
      <c r="J9" s="134" t="s">
        <v>18</v>
      </c>
      <c r="K9" s="136"/>
    </row>
    <row r="10" spans="1:11" ht="25" customHeight="1">
      <c r="B10" s="132"/>
      <c r="C10" s="133"/>
      <c r="D10" s="134">
        <f>COUNTIF(B13:B15,"&lt;&gt;")</f>
        <v>1</v>
      </c>
      <c r="E10" s="135"/>
      <c r="F10" s="103">
        <f>COUNTIF(F13:F15,"=轻微")</f>
        <v>0</v>
      </c>
      <c r="G10" s="104"/>
      <c r="H10" s="103">
        <f>COUNTIF(F13:F15,"=一般")</f>
        <v>1</v>
      </c>
      <c r="I10" s="104"/>
      <c r="J10" s="103">
        <f>COUNTIF(F13:F15,"=严重")</f>
        <v>0</v>
      </c>
      <c r="K10" s="138"/>
    </row>
    <row r="11" spans="1:11" ht="25" customHeight="1">
      <c r="B11" s="107" t="s">
        <v>14</v>
      </c>
      <c r="C11" s="108"/>
      <c r="D11" s="108"/>
      <c r="E11" s="108"/>
      <c r="F11" s="108"/>
      <c r="G11" s="108"/>
      <c r="H11" s="108"/>
      <c r="I11" s="108"/>
      <c r="J11" s="108"/>
      <c r="K11" s="109"/>
    </row>
    <row r="12" spans="1:11" s="4" customFormat="1" ht="25" customHeight="1">
      <c r="B12" s="5" t="s">
        <v>20</v>
      </c>
      <c r="C12" s="128" t="s">
        <v>19</v>
      </c>
      <c r="D12" s="128"/>
      <c r="E12" s="128"/>
      <c r="F12" s="6" t="s">
        <v>21</v>
      </c>
      <c r="G12" s="6" t="s">
        <v>9</v>
      </c>
      <c r="H12" s="6" t="s">
        <v>10</v>
      </c>
      <c r="I12" s="6" t="s">
        <v>11</v>
      </c>
      <c r="J12" s="128" t="s">
        <v>22</v>
      </c>
      <c r="K12" s="129"/>
    </row>
    <row r="13" spans="1:11" ht="50.25" customHeight="1">
      <c r="A13" s="1">
        <v>1</v>
      </c>
      <c r="B13" s="10">
        <v>1</v>
      </c>
      <c r="C13" s="51" t="s">
        <v>93</v>
      </c>
      <c r="D13" s="52"/>
      <c r="E13" s="53"/>
      <c r="F13" s="2" t="s">
        <v>88</v>
      </c>
      <c r="G13" s="2" t="s">
        <v>150</v>
      </c>
      <c r="H13" s="12" t="s">
        <v>202</v>
      </c>
      <c r="I13" s="12" t="s">
        <v>237</v>
      </c>
      <c r="J13" s="51" t="s">
        <v>94</v>
      </c>
      <c r="K13" s="102"/>
    </row>
    <row r="14" spans="1:11" ht="28.25" customHeight="1">
      <c r="B14" s="10"/>
      <c r="C14" s="103"/>
      <c r="D14" s="120"/>
      <c r="E14" s="104"/>
      <c r="F14" s="2"/>
      <c r="G14" s="2"/>
      <c r="H14" s="2"/>
      <c r="I14" s="2"/>
      <c r="J14" s="124"/>
      <c r="K14" s="125"/>
    </row>
    <row r="15" spans="1:11" ht="28.25" customHeight="1">
      <c r="B15" s="10"/>
      <c r="C15" s="103"/>
      <c r="D15" s="120"/>
      <c r="E15" s="104"/>
      <c r="F15" s="2"/>
      <c r="G15" s="2"/>
      <c r="H15" s="2"/>
      <c r="I15" s="2"/>
      <c r="J15" s="124"/>
      <c r="K15" s="125"/>
    </row>
    <row r="16" spans="1:11" ht="28.25" customHeight="1">
      <c r="B16" s="107" t="s">
        <v>12</v>
      </c>
      <c r="C16" s="108"/>
      <c r="D16" s="108"/>
      <c r="E16" s="108"/>
      <c r="F16" s="108"/>
      <c r="G16" s="108"/>
      <c r="H16" s="108"/>
      <c r="I16" s="108"/>
      <c r="J16" s="108"/>
      <c r="K16" s="109"/>
    </row>
    <row r="17" spans="2:11" ht="72" customHeight="1" thickBot="1">
      <c r="B17" s="110" t="s">
        <v>250</v>
      </c>
      <c r="C17" s="126"/>
      <c r="D17" s="126"/>
      <c r="E17" s="126"/>
      <c r="F17" s="126"/>
      <c r="G17" s="126"/>
      <c r="H17" s="126"/>
      <c r="I17" s="126"/>
      <c r="J17" s="126"/>
      <c r="K17" s="127"/>
    </row>
    <row r="18" spans="2:11" ht="15" thickTop="1"/>
    <row r="39" spans="9:9">
      <c r="I39" s="11">
        <v>42956</v>
      </c>
    </row>
  </sheetData>
  <mergeCells count="32">
    <mergeCell ref="B16:K16"/>
    <mergeCell ref="B17:K17"/>
    <mergeCell ref="C15:E15"/>
    <mergeCell ref="J15:K15"/>
    <mergeCell ref="C14:E14"/>
    <mergeCell ref="J14:K14"/>
    <mergeCell ref="B9:C10"/>
    <mergeCell ref="D9:E9"/>
    <mergeCell ref="F9:G9"/>
    <mergeCell ref="H9:I9"/>
    <mergeCell ref="J9:K9"/>
    <mergeCell ref="D10:E10"/>
    <mergeCell ref="F10:G10"/>
    <mergeCell ref="H10:I10"/>
    <mergeCell ref="J10:K10"/>
    <mergeCell ref="B11:K11"/>
    <mergeCell ref="C12:E12"/>
    <mergeCell ref="J12:K12"/>
    <mergeCell ref="C13:E13"/>
    <mergeCell ref="J13:K13"/>
    <mergeCell ref="B8:K8"/>
    <mergeCell ref="B1:K1"/>
    <mergeCell ref="B2:K2"/>
    <mergeCell ref="C3:G3"/>
    <mergeCell ref="I3:K3"/>
    <mergeCell ref="B4:E4"/>
    <mergeCell ref="F4:K4"/>
    <mergeCell ref="C5:E5"/>
    <mergeCell ref="F5:G5"/>
    <mergeCell ref="H5:K5"/>
    <mergeCell ref="C6:K6"/>
    <mergeCell ref="B7:K7"/>
  </mergeCells>
  <phoneticPr fontId="1" type="noConversion"/>
  <pageMargins left="0.25" right="0.25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K39"/>
  <sheetViews>
    <sheetView view="pageLayout" topLeftCell="A4" zoomScaleNormal="100" workbookViewId="0">
      <selection activeCell="B8" sqref="B8:K8"/>
    </sheetView>
  </sheetViews>
  <sheetFormatPr baseColWidth="10" defaultColWidth="9" defaultRowHeight="14"/>
  <cols>
    <col min="1" max="1" width="1.1640625" style="1" customWidth="1"/>
    <col min="2" max="2" width="8.6640625" style="1" customWidth="1"/>
    <col min="3" max="4" width="9" style="1"/>
    <col min="5" max="5" width="3.83203125" style="1" customWidth="1"/>
    <col min="6" max="7" width="9" style="1"/>
    <col min="8" max="8" width="12.1640625" style="1" customWidth="1"/>
    <col min="9" max="9" width="13" style="1" customWidth="1"/>
    <col min="10" max="10" width="9" style="1" customWidth="1"/>
    <col min="11" max="11" width="7.83203125" style="1" customWidth="1"/>
    <col min="12" max="16384" width="9" style="1"/>
  </cols>
  <sheetData>
    <row r="1" spans="2:11" ht="28.25" customHeight="1">
      <c r="B1" s="141" t="s">
        <v>24</v>
      </c>
      <c r="C1" s="141"/>
      <c r="D1" s="141"/>
      <c r="E1" s="141"/>
      <c r="F1" s="141"/>
      <c r="G1" s="141"/>
      <c r="H1" s="141"/>
      <c r="I1" s="141"/>
      <c r="J1" s="141"/>
      <c r="K1" s="141"/>
    </row>
    <row r="2" spans="2:11" ht="28.25" customHeight="1" thickBot="1">
      <c r="B2" s="142" t="s">
        <v>214</v>
      </c>
      <c r="C2" s="142"/>
      <c r="D2" s="142"/>
      <c r="E2" s="142"/>
      <c r="F2" s="142"/>
      <c r="G2" s="142"/>
      <c r="H2" s="142"/>
      <c r="I2" s="142"/>
      <c r="J2" s="142"/>
      <c r="K2" s="142"/>
    </row>
    <row r="3" spans="2:11" ht="25" customHeight="1" thickTop="1">
      <c r="B3" s="9" t="s">
        <v>0</v>
      </c>
      <c r="C3" s="143" t="s">
        <v>239</v>
      </c>
      <c r="D3" s="144"/>
      <c r="E3" s="144"/>
      <c r="F3" s="144"/>
      <c r="G3" s="145"/>
      <c r="H3" s="7" t="s">
        <v>15</v>
      </c>
      <c r="I3" s="146" t="s">
        <v>67</v>
      </c>
      <c r="J3" s="146"/>
      <c r="K3" s="147"/>
    </row>
    <row r="4" spans="2:11" ht="25" customHeight="1">
      <c r="B4" s="107" t="s">
        <v>5</v>
      </c>
      <c r="C4" s="108"/>
      <c r="D4" s="108"/>
      <c r="E4" s="108"/>
      <c r="F4" s="124" t="s">
        <v>55</v>
      </c>
      <c r="G4" s="148"/>
      <c r="H4" s="148"/>
      <c r="I4" s="148"/>
      <c r="J4" s="148"/>
      <c r="K4" s="125"/>
    </row>
    <row r="5" spans="2:11" ht="25" customHeight="1">
      <c r="B5" s="8" t="s">
        <v>6</v>
      </c>
      <c r="C5" s="103" t="s">
        <v>51</v>
      </c>
      <c r="D5" s="120"/>
      <c r="E5" s="104"/>
      <c r="F5" s="118" t="s">
        <v>43</v>
      </c>
      <c r="G5" s="119"/>
      <c r="H5" s="118">
        <v>45894</v>
      </c>
      <c r="I5" s="121"/>
      <c r="J5" s="121"/>
      <c r="K5" s="122"/>
    </row>
    <row r="6" spans="2:11" ht="25" customHeight="1">
      <c r="B6" s="8" t="s">
        <v>7</v>
      </c>
      <c r="C6" s="139" t="s">
        <v>215</v>
      </c>
      <c r="D6" s="139"/>
      <c r="E6" s="139"/>
      <c r="F6" s="139"/>
      <c r="G6" s="139"/>
      <c r="H6" s="139"/>
      <c r="I6" s="139"/>
      <c r="J6" s="139"/>
      <c r="K6" s="140"/>
    </row>
    <row r="7" spans="2:11" ht="25" customHeight="1">
      <c r="B7" s="107" t="s">
        <v>8</v>
      </c>
      <c r="C7" s="108"/>
      <c r="D7" s="108"/>
      <c r="E7" s="108"/>
      <c r="F7" s="108"/>
      <c r="G7" s="108"/>
      <c r="H7" s="108"/>
      <c r="I7" s="108"/>
      <c r="J7" s="108"/>
      <c r="K7" s="109"/>
    </row>
    <row r="8" spans="2:11" ht="150" customHeight="1">
      <c r="B8" s="97" t="s">
        <v>95</v>
      </c>
      <c r="C8" s="139"/>
      <c r="D8" s="139"/>
      <c r="E8" s="139"/>
      <c r="F8" s="139"/>
      <c r="G8" s="139"/>
      <c r="H8" s="139"/>
      <c r="I8" s="139"/>
      <c r="J8" s="139"/>
      <c r="K8" s="140"/>
    </row>
    <row r="9" spans="2:11" ht="25" customHeight="1">
      <c r="B9" s="130" t="s">
        <v>13</v>
      </c>
      <c r="C9" s="131"/>
      <c r="D9" s="134" t="s">
        <v>27</v>
      </c>
      <c r="E9" s="135"/>
      <c r="F9" s="134" t="s">
        <v>16</v>
      </c>
      <c r="G9" s="135"/>
      <c r="H9" s="134" t="s">
        <v>17</v>
      </c>
      <c r="I9" s="135"/>
      <c r="J9" s="134" t="s">
        <v>18</v>
      </c>
      <c r="K9" s="136"/>
    </row>
    <row r="10" spans="2:11" ht="25" customHeight="1">
      <c r="B10" s="132"/>
      <c r="C10" s="133"/>
      <c r="D10" s="134">
        <f>COUNTIF(B13:B15,"&lt;&gt;")</f>
        <v>3</v>
      </c>
      <c r="E10" s="135"/>
      <c r="F10" s="103">
        <f>COUNTIF(F13:F17,"=轻微")</f>
        <v>1</v>
      </c>
      <c r="G10" s="104"/>
      <c r="H10" s="103">
        <f>COUNTIF(F13:F17,"=一般")</f>
        <v>2</v>
      </c>
      <c r="I10" s="104"/>
      <c r="J10" s="103">
        <f>COUNTIF(F13:F17,"=严重")</f>
        <v>0</v>
      </c>
      <c r="K10" s="138"/>
    </row>
    <row r="11" spans="2:11" ht="25" customHeight="1">
      <c r="B11" s="107" t="s">
        <v>14</v>
      </c>
      <c r="C11" s="108"/>
      <c r="D11" s="108"/>
      <c r="E11" s="108"/>
      <c r="F11" s="108"/>
      <c r="G11" s="108"/>
      <c r="H11" s="108"/>
      <c r="I11" s="108"/>
      <c r="J11" s="108"/>
      <c r="K11" s="109"/>
    </row>
    <row r="12" spans="2:11" s="4" customFormat="1" ht="25" customHeight="1">
      <c r="B12" s="5" t="s">
        <v>20</v>
      </c>
      <c r="C12" s="128" t="s">
        <v>19</v>
      </c>
      <c r="D12" s="128"/>
      <c r="E12" s="128"/>
      <c r="F12" s="6" t="s">
        <v>21</v>
      </c>
      <c r="G12" s="6" t="s">
        <v>9</v>
      </c>
      <c r="H12" s="6" t="s">
        <v>10</v>
      </c>
      <c r="I12" s="6" t="s">
        <v>11</v>
      </c>
      <c r="J12" s="128" t="s">
        <v>22</v>
      </c>
      <c r="K12" s="129"/>
    </row>
    <row r="13" spans="2:11" ht="50.25" customHeight="1">
      <c r="B13" s="10">
        <v>1</v>
      </c>
      <c r="C13" s="51" t="s">
        <v>217</v>
      </c>
      <c r="D13" s="52"/>
      <c r="E13" s="53"/>
      <c r="F13" s="2" t="s">
        <v>183</v>
      </c>
      <c r="G13" s="2" t="s">
        <v>220</v>
      </c>
      <c r="H13" s="12" t="s">
        <v>207</v>
      </c>
      <c r="I13" s="12" t="s">
        <v>208</v>
      </c>
      <c r="J13" s="51" t="s">
        <v>233</v>
      </c>
      <c r="K13" s="102"/>
    </row>
    <row r="14" spans="2:11" ht="35" customHeight="1">
      <c r="B14" s="10">
        <v>2</v>
      </c>
      <c r="C14" s="124" t="s">
        <v>218</v>
      </c>
      <c r="D14" s="148"/>
      <c r="E14" s="150"/>
      <c r="F14" s="2" t="s">
        <v>206</v>
      </c>
      <c r="G14" s="2" t="s">
        <v>220</v>
      </c>
      <c r="H14" s="12" t="s">
        <v>207</v>
      </c>
      <c r="I14" s="12" t="s">
        <v>208</v>
      </c>
      <c r="J14" s="51" t="s">
        <v>234</v>
      </c>
      <c r="K14" s="102"/>
    </row>
    <row r="15" spans="2:11" ht="38.5" customHeight="1">
      <c r="B15" s="10">
        <v>3</v>
      </c>
      <c r="C15" s="51" t="s">
        <v>219</v>
      </c>
      <c r="D15" s="52"/>
      <c r="E15" s="53"/>
      <c r="F15" s="2" t="s">
        <v>206</v>
      </c>
      <c r="G15" s="2" t="s">
        <v>220</v>
      </c>
      <c r="H15" s="12" t="s">
        <v>207</v>
      </c>
      <c r="I15" s="12" t="s">
        <v>208</v>
      </c>
      <c r="J15" s="124" t="s">
        <v>235</v>
      </c>
      <c r="K15" s="125"/>
    </row>
    <row r="16" spans="2:11" ht="28.25" customHeight="1">
      <c r="B16" s="107" t="s">
        <v>216</v>
      </c>
      <c r="C16" s="108"/>
      <c r="D16" s="108"/>
      <c r="E16" s="108"/>
      <c r="F16" s="108"/>
      <c r="G16" s="108"/>
      <c r="H16" s="108"/>
      <c r="I16" s="108"/>
      <c r="J16" s="108"/>
      <c r="K16" s="109"/>
    </row>
    <row r="17" spans="2:11" ht="72" customHeight="1" thickBot="1">
      <c r="B17" s="110" t="s">
        <v>137</v>
      </c>
      <c r="C17" s="126"/>
      <c r="D17" s="126"/>
      <c r="E17" s="126"/>
      <c r="F17" s="126"/>
      <c r="G17" s="126"/>
      <c r="H17" s="126"/>
      <c r="I17" s="126"/>
      <c r="J17" s="126"/>
      <c r="K17" s="127"/>
    </row>
    <row r="18" spans="2:11" ht="15" thickTop="1"/>
    <row r="39" spans="9:9">
      <c r="I39" s="11"/>
    </row>
  </sheetData>
  <mergeCells count="32">
    <mergeCell ref="B16:K16"/>
    <mergeCell ref="B17:K17"/>
    <mergeCell ref="C15:E15"/>
    <mergeCell ref="J15:K15"/>
    <mergeCell ref="C14:E14"/>
    <mergeCell ref="J14:K14"/>
    <mergeCell ref="B9:C10"/>
    <mergeCell ref="D9:E9"/>
    <mergeCell ref="F9:G9"/>
    <mergeCell ref="H9:I9"/>
    <mergeCell ref="J9:K9"/>
    <mergeCell ref="D10:E10"/>
    <mergeCell ref="F10:G10"/>
    <mergeCell ref="H10:I10"/>
    <mergeCell ref="J10:K10"/>
    <mergeCell ref="B11:K11"/>
    <mergeCell ref="C12:E12"/>
    <mergeCell ref="J12:K12"/>
    <mergeCell ref="C13:E13"/>
    <mergeCell ref="J13:K13"/>
    <mergeCell ref="B8:K8"/>
    <mergeCell ref="B1:K1"/>
    <mergeCell ref="B2:K2"/>
    <mergeCell ref="C3:G3"/>
    <mergeCell ref="I3:K3"/>
    <mergeCell ref="B4:E4"/>
    <mergeCell ref="F4:K4"/>
    <mergeCell ref="C5:E5"/>
    <mergeCell ref="F5:G5"/>
    <mergeCell ref="H5:K5"/>
    <mergeCell ref="C6:K6"/>
    <mergeCell ref="B7:K7"/>
  </mergeCells>
  <phoneticPr fontId="1" type="noConversion"/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质量审核工作报告2025.8.25</vt:lpstr>
      <vt:lpstr>005产品审核报告-测量与分析计划2025.7.15</vt:lpstr>
      <vt:lpstr>006产品审核报告-质量保证计划2025.7.15</vt:lpstr>
      <vt:lpstr>007产品审核报告-配置管理计划2025.7.15</vt:lpstr>
      <vt:lpstr>008产品审核报告-软件开发计划2025.7.15</vt:lpstr>
      <vt:lpstr>009项目策划审核报告-2025.7.16</vt:lpstr>
      <vt:lpstr>010项目监控审核报告-2025.7.23（双周1）</vt:lpstr>
      <vt:lpstr>011测量与绩效管理审核报告-2025.7.23（双周1）</vt:lpstr>
      <vt:lpstr>012配置管理审核报告-2025.7.31 (月)</vt:lpstr>
      <vt:lpstr>013项目监控审核报告-2025.8.6（双周2）</vt:lpstr>
      <vt:lpstr>014测量与绩效管理审核报告-2025.8.6（双周2）</vt:lpstr>
      <vt:lpstr>015产品审核报告-软件需规2025.8.20</vt:lpstr>
      <vt:lpstr>016产品审核报告-软件测试计划2025.8.21</vt:lpstr>
      <vt:lpstr>017验证与确认审核报告-2025.8.22</vt:lpstr>
      <vt:lpstr>018项目监控审核报告-2025.8.25（阶段）</vt:lpstr>
      <vt:lpstr>019测量与绩效管理审核报告-2025.8.25（阶段）</vt:lpstr>
      <vt:lpstr>020需求开发与管理审核报告-2025.8.25</vt:lpstr>
      <vt:lpstr>021配置管理审核报告-2025.8.25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2026-09-27T01:36:12Z</dcterms:modified>
</cp:coreProperties>
</file>