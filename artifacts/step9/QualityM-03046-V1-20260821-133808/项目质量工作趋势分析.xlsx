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工作趋势分析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'质量工作趋势分析'!$A$1:$O$32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阶段不符合项数量趋势图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'质量工作趋势分析'!B3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'质量工作趋势分析'!$B$4:$B$9</f>
            </numRef>
          </val>
        </ser>
        <ser>
          <idx val="1"/>
          <order val="1"/>
          <tx>
            <strRef>
              <f>'质量工作趋势分析'!C3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'质量工作趋势分析'!$C$4:$C$9</f>
            </numRef>
          </val>
        </ser>
        <ser>
          <idx val="2"/>
          <order val="2"/>
          <tx>
            <strRef>
              <f>'质量工作趋势分析'!D3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'质量工作趋势分析'!$D$4:$D$9</f>
            </numRef>
          </val>
        </ser>
        <ser>
          <idx val="3"/>
          <order val="3"/>
          <tx>
            <strRef>
              <f>'质量工作趋势分析'!E3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十类不符合项分布比例图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'质量工作趋势分析'!F3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'质量工作趋势分析'!$F$4:$F$10</f>
            </numRef>
          </val>
        </ser>
        <ser>
          <idx val="1"/>
          <order val="1"/>
          <tx>
            <strRef>
              <f>'质量工作趋势分析'!G3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'质量工作趋势分析'!$G$4:$G$10</f>
            </numRef>
          </val>
        </ser>
        <ser>
          <idx val="2"/>
          <order val="2"/>
          <tx>
            <strRef>
              <f>'质量工作趋势分析'!H3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'质量工作趋势分析'!$H$4:$H$10</f>
            </numRef>
          </val>
        </ser>
        <ser>
          <idx val="3"/>
          <order val="3"/>
          <tx>
            <strRef>
              <f>'质量工作趋势分析'!I3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'质量工作趋势分析'!$I$4:$I$10</f>
            </numRef>
          </val>
        </ser>
        <ser>
          <idx val="4"/>
          <order val="4"/>
          <tx>
            <strRef>
              <f>'质量工作趋势分析'!J3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'质量工作趋势分析'!$J$4:$J$10</f>
            </numRef>
          </val>
        </ser>
        <ser>
          <idx val="5"/>
          <order val="5"/>
          <tx>
            <strRef>
              <f>'质量工作趋势分析'!K3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'质量工作趋势分析'!$K$4:$K$10</f>
            </numRef>
          </val>
        </ser>
        <ser>
          <idx val="6"/>
          <order val="6"/>
          <tx>
            <strRef>
              <f>'质量工作趋势分析'!L3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'质量工作趋势分析'!$L$4:$L$10</f>
            </numRef>
          </val>
        </ser>
        <ser>
          <idx val="7"/>
          <order val="7"/>
          <tx>
            <strRef>
              <f>'质量工作趋势分析'!M3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'质量工作趋势分析'!$M$4:$M$10</f>
            </numRef>
          </val>
        </ser>
        <ser>
          <idx val="8"/>
          <order val="8"/>
          <tx>
            <strRef>
              <f>'质量工作趋势分析'!N3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'质量工作趋势分析'!$N$4:$N$10</f>
            </numRef>
          </val>
        </ser>
        <ser>
          <idx val="9"/>
          <order val="9"/>
          <tx>
            <strRef>
              <f>'质量工作趋势分析'!O3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'质量工作趋势分析'!$O$4:$O$10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QualityM-03046-V1-01-&#31995;&#32479;&#20998;&#26512;&#19982;&#35774;&#35745;-&#38454;&#27573;&#36136;&#37327;&#23457;&#26680;&#35760;&#24405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QualityM-03046-V1-02-&#38656;&#27714;&#20998;&#26512;&#38454;&#27573;-&#38454;&#27573;&#36136;&#37327;&#23457;&#26680;&#35760;&#24405;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QualityM-03046-V1-03-&#36719;&#20214;&#35774;&#35745;&#38454;&#27573;-&#38454;&#27573;&#36136;&#37327;&#23457;&#26680;&#35760;&#24405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QualityM-03046-V1-04-&#36719;&#20214;&#32534;&#30721;&#19982;&#21333;&#20803;&#27979;&#35797;&#38454;&#27573;-&#38454;&#27573;&#36136;&#37327;&#23457;&#26680;&#35760;&#24405;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QualityM-03046-V1-05-&#36719;&#20214;&#21512;&#26684;&#24615;&#27979;&#35797;&#21450;&#38598;&#25104;&#35797;&#36816;&#34892;&#38454;&#27573;-&#38454;&#27573;&#36136;&#37327;&#23457;&#26680;&#35760;&#24405;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QualityM-03046-V1-06-&#39564;&#25910;&#19982;&#20132;&#20184;-&#38454;&#27573;&#36136;&#37327;&#23457;&#26680;&#35760;&#2440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项目质量工作趋势分析</t>
        </is>
      </c>
    </row>
    <row r="3">
      <c r="A3" s="2" t="inlineStr">
        <is>
          <t>阶段</t>
        </is>
      </c>
      <c r="B3" s="2" t="inlineStr">
        <is>
          <t>NC总数</t>
        </is>
      </c>
      <c r="C3" s="2" t="inlineStr">
        <is>
          <t>轻微</t>
        </is>
      </c>
      <c r="D3" s="2" t="inlineStr">
        <is>
          <t>一般</t>
        </is>
      </c>
      <c r="E3" s="2" t="inlineStr">
        <is>
          <t>严重</t>
        </is>
      </c>
      <c r="F3" s="2" t="inlineStr">
        <is>
          <t>RDM</t>
        </is>
      </c>
      <c r="G3" s="2" t="inlineStr">
        <is>
          <t>PP</t>
        </is>
      </c>
      <c r="H3" s="2" t="inlineStr">
        <is>
          <t>PMC</t>
        </is>
      </c>
      <c r="I3" s="2" t="inlineStr">
        <is>
          <t>CM</t>
        </is>
      </c>
      <c r="J3" s="2" t="inlineStr">
        <is>
          <t>MT</t>
        </is>
      </c>
      <c r="K3" s="2" t="inlineStr">
        <is>
          <t>MPM</t>
        </is>
      </c>
      <c r="L3" s="2" t="inlineStr">
        <is>
          <t>VV</t>
        </is>
      </c>
      <c r="M3" s="2" t="inlineStr">
        <is>
          <t>LD</t>
        </is>
      </c>
      <c r="N3" s="2" t="inlineStr">
        <is>
          <t>II</t>
        </is>
      </c>
      <c r="O3" s="2" t="inlineStr">
        <is>
          <t>工作产品</t>
        </is>
      </c>
    </row>
    <row r="4">
      <c r="A4" t="inlineStr">
        <is>
          <t>系统分析与设计</t>
        </is>
      </c>
      <c r="B4">
        <f>IFERROR(INDEX('[1]阶段质量审核工作报告'!$A:$L,MATCH("阶段汇总统计",'[1]阶段质量审核工作报告'!$A:$A,0)+1,2),0)</f>
        <v/>
      </c>
      <c r="C4">
        <f>IFERROR(INDEX('[1]阶段质量审核工作报告'!$A:$L,MATCH("阶段汇总统计",'[1]阶段质量审核工作报告'!$A:$A,0)+1,8),0)</f>
        <v/>
      </c>
      <c r="D4">
        <f>IFERROR(INDEX('[1]阶段质量审核工作报告'!$A:$L,MATCH("阶段汇总统计",'[1]阶段质量审核工作报告'!$A:$A,0)+1,10),0)</f>
        <v/>
      </c>
      <c r="E4">
        <f>IFERROR(INDEX('[1]阶段质量审核工作报告'!$A:$L,MATCH("阶段汇总统计",'[1]阶段质量审核工作报告'!$A:$A,0)+1,12),0)</f>
        <v/>
      </c>
      <c r="F4">
        <f>IFERROR(INDEX('[1]阶段质量审核工作报告'!$A:$J,MATCH("RDM",'[1]阶段质量审核工作报告'!$A:$A,0)+1,1),0)</f>
        <v/>
      </c>
      <c r="G4">
        <f>IFERROR(INDEX('[1]阶段质量审核工作报告'!$A:$J,MATCH("PP",'[1]阶段质量审核工作报告'!$A:$A,0)+1,1),0)</f>
        <v/>
      </c>
      <c r="H4">
        <f>IFERROR(INDEX('[1]阶段质量审核工作报告'!$A:$J,MATCH("PMC",'[1]阶段质量审核工作报告'!$A:$A,0)+1,1),0)</f>
        <v/>
      </c>
      <c r="I4">
        <f>IFERROR(INDEX('[1]阶段质量审核工作报告'!$A:$J,MATCH("CM",'[1]阶段质量审核工作报告'!$A:$A,0)+1,1),0)</f>
        <v/>
      </c>
      <c r="J4">
        <f>IFERROR(INDEX('[1]阶段质量审核工作报告'!$A:$J,MATCH("MT",'[1]阶段质量审核工作报告'!$A:$A,0)+1,1),0)</f>
        <v/>
      </c>
      <c r="K4">
        <f>IFERROR(INDEX('[1]阶段质量审核工作报告'!$A:$J,MATCH("MPM",'[1]阶段质量审核工作报告'!$A:$A,0)+1,1),0)</f>
        <v/>
      </c>
      <c r="L4">
        <f>IFERROR(INDEX('[1]阶段质量审核工作报告'!$A:$J,MATCH("VV",'[1]阶段质量审核工作报告'!$A:$A,0)+1,1),0)</f>
        <v/>
      </c>
      <c r="M4">
        <f>IFERROR(INDEX('[1]阶段质量审核工作报告'!$A:$J,MATCH("LD",'[1]阶段质量审核工作报告'!$A:$A,0)+1,1),0)</f>
        <v/>
      </c>
      <c r="N4">
        <f>IFERROR(INDEX('[1]阶段质量审核工作报告'!$A:$J,MATCH("II",'[1]阶段质量审核工作报告'!$A:$A,0)+1,1),0)</f>
        <v/>
      </c>
      <c r="O4">
        <f>IFERROR(INDEX('[1]阶段质量审核工作报告'!$A:$J,MATCH("工作产品",'[1]阶段质量审核工作报告'!$A:$A,0)+1,1),0)</f>
        <v/>
      </c>
    </row>
    <row r="5">
      <c r="A5" t="inlineStr">
        <is>
          <t>需求分析阶段</t>
        </is>
      </c>
      <c r="B5">
        <f>IFERROR(INDEX('[2]阶段质量审核工作报告'!$A:$L,MATCH("阶段汇总统计",'[2]阶段质量审核工作报告'!$A:$A,0)+1,2),0)</f>
        <v/>
      </c>
      <c r="C5">
        <f>IFERROR(INDEX('[2]阶段质量审核工作报告'!$A:$L,MATCH("阶段汇总统计",'[2]阶段质量审核工作报告'!$A:$A,0)+1,8),0)</f>
        <v/>
      </c>
      <c r="D5">
        <f>IFERROR(INDEX('[2]阶段质量审核工作报告'!$A:$L,MATCH("阶段汇总统计",'[2]阶段质量审核工作报告'!$A:$A,0)+1,10),0)</f>
        <v/>
      </c>
      <c r="E5">
        <f>IFERROR(INDEX('[2]阶段质量审核工作报告'!$A:$L,MATCH("阶段汇总统计",'[2]阶段质量审核工作报告'!$A:$A,0)+1,12),0)</f>
        <v/>
      </c>
      <c r="F5">
        <f>IFERROR(INDEX('[2]阶段质量审核工作报告'!$A:$J,MATCH("RDM",'[2]阶段质量审核工作报告'!$A:$A,0)+1,1),0)</f>
        <v/>
      </c>
      <c r="G5">
        <f>IFERROR(INDEX('[2]阶段质量审核工作报告'!$A:$J,MATCH("PP",'[2]阶段质量审核工作报告'!$A:$A,0)+1,1),0)</f>
        <v/>
      </c>
      <c r="H5">
        <f>IFERROR(INDEX('[2]阶段质量审核工作报告'!$A:$J,MATCH("PMC",'[2]阶段质量审核工作报告'!$A:$A,0)+1,1),0)</f>
        <v/>
      </c>
      <c r="I5">
        <f>IFERROR(INDEX('[2]阶段质量审核工作报告'!$A:$J,MATCH("CM",'[2]阶段质量审核工作报告'!$A:$A,0)+1,1),0)</f>
        <v/>
      </c>
      <c r="J5">
        <f>IFERROR(INDEX('[2]阶段质量审核工作报告'!$A:$J,MATCH("MT",'[2]阶段质量审核工作报告'!$A:$A,0)+1,1),0)</f>
        <v/>
      </c>
      <c r="K5">
        <f>IFERROR(INDEX('[2]阶段质量审核工作报告'!$A:$J,MATCH("MPM",'[2]阶段质量审核工作报告'!$A:$A,0)+1,1),0)</f>
        <v/>
      </c>
      <c r="L5">
        <f>IFERROR(INDEX('[2]阶段质量审核工作报告'!$A:$J,MATCH("VV",'[2]阶段质量审核工作报告'!$A:$A,0)+1,1),0)</f>
        <v/>
      </c>
      <c r="M5">
        <f>IFERROR(INDEX('[2]阶段质量审核工作报告'!$A:$J,MATCH("LD",'[2]阶段质量审核工作报告'!$A:$A,0)+1,1),0)</f>
        <v/>
      </c>
      <c r="N5">
        <f>IFERROR(INDEX('[2]阶段质量审核工作报告'!$A:$J,MATCH("II",'[2]阶段质量审核工作报告'!$A:$A,0)+1,1),0)</f>
        <v/>
      </c>
      <c r="O5">
        <f>IFERROR(INDEX('[2]阶段质量审核工作报告'!$A:$J,MATCH("工作产品",'[2]阶段质量审核工作报告'!$A:$A,0)+1,1),0)</f>
        <v/>
      </c>
    </row>
    <row r="6">
      <c r="A6" t="inlineStr">
        <is>
          <t>软件设计阶段</t>
        </is>
      </c>
      <c r="B6">
        <f>IFERROR(INDEX('[3]阶段质量审核工作报告'!$A:$L,MATCH("阶段汇总统计",'[3]阶段质量审核工作报告'!$A:$A,0)+1,2),0)</f>
        <v/>
      </c>
      <c r="C6">
        <f>IFERROR(INDEX('[3]阶段质量审核工作报告'!$A:$L,MATCH("阶段汇总统计",'[3]阶段质量审核工作报告'!$A:$A,0)+1,8),0)</f>
        <v/>
      </c>
      <c r="D6">
        <f>IFERROR(INDEX('[3]阶段质量审核工作报告'!$A:$L,MATCH("阶段汇总统计",'[3]阶段质量审核工作报告'!$A:$A,0)+1,10),0)</f>
        <v/>
      </c>
      <c r="E6">
        <f>IFERROR(INDEX('[3]阶段质量审核工作报告'!$A:$L,MATCH("阶段汇总统计",'[3]阶段质量审核工作报告'!$A:$A,0)+1,12),0)</f>
        <v/>
      </c>
      <c r="F6">
        <f>IFERROR(INDEX('[3]阶段质量审核工作报告'!$A:$J,MATCH("RDM",'[3]阶段质量审核工作报告'!$A:$A,0)+1,1),0)</f>
        <v/>
      </c>
      <c r="G6">
        <f>IFERROR(INDEX('[3]阶段质量审核工作报告'!$A:$J,MATCH("PP",'[3]阶段质量审核工作报告'!$A:$A,0)+1,1),0)</f>
        <v/>
      </c>
      <c r="H6">
        <f>IFERROR(INDEX('[3]阶段质量审核工作报告'!$A:$J,MATCH("PMC",'[3]阶段质量审核工作报告'!$A:$A,0)+1,1),0)</f>
        <v/>
      </c>
      <c r="I6">
        <f>IFERROR(INDEX('[3]阶段质量审核工作报告'!$A:$J,MATCH("CM",'[3]阶段质量审核工作报告'!$A:$A,0)+1,1),0)</f>
        <v/>
      </c>
      <c r="J6">
        <f>IFERROR(INDEX('[3]阶段质量审核工作报告'!$A:$J,MATCH("MT",'[3]阶段质量审核工作报告'!$A:$A,0)+1,1),0)</f>
        <v/>
      </c>
      <c r="K6">
        <f>IFERROR(INDEX('[3]阶段质量审核工作报告'!$A:$J,MATCH("MPM",'[3]阶段质量审核工作报告'!$A:$A,0)+1,1),0)</f>
        <v/>
      </c>
      <c r="L6">
        <f>IFERROR(INDEX('[3]阶段质量审核工作报告'!$A:$J,MATCH("VV",'[3]阶段质量审核工作报告'!$A:$A,0)+1,1),0)</f>
        <v/>
      </c>
      <c r="M6">
        <f>IFERROR(INDEX('[3]阶段质量审核工作报告'!$A:$J,MATCH("LD",'[3]阶段质量审核工作报告'!$A:$A,0)+1,1),0)</f>
        <v/>
      </c>
      <c r="N6">
        <f>IFERROR(INDEX('[3]阶段质量审核工作报告'!$A:$J,MATCH("II",'[3]阶段质量审核工作报告'!$A:$A,0)+1,1),0)</f>
        <v/>
      </c>
      <c r="O6">
        <f>IFERROR(INDEX('[3]阶段质量审核工作报告'!$A:$J,MATCH("工作产品",'[3]阶段质量审核工作报告'!$A:$A,0)+1,1),0)</f>
        <v/>
      </c>
    </row>
    <row r="7">
      <c r="A7" t="inlineStr">
        <is>
          <t>软件编码与单元测试阶段</t>
        </is>
      </c>
      <c r="B7">
        <f>IFERROR(INDEX('[4]阶段质量审核工作报告'!$A:$L,MATCH("阶段汇总统计",'[4]阶段质量审核工作报告'!$A:$A,0)+1,2),0)</f>
        <v/>
      </c>
      <c r="C7">
        <f>IFERROR(INDEX('[4]阶段质量审核工作报告'!$A:$L,MATCH("阶段汇总统计",'[4]阶段质量审核工作报告'!$A:$A,0)+1,8),0)</f>
        <v/>
      </c>
      <c r="D7">
        <f>IFERROR(INDEX('[4]阶段质量审核工作报告'!$A:$L,MATCH("阶段汇总统计",'[4]阶段质量审核工作报告'!$A:$A,0)+1,10),0)</f>
        <v/>
      </c>
      <c r="E7">
        <f>IFERROR(INDEX('[4]阶段质量审核工作报告'!$A:$L,MATCH("阶段汇总统计",'[4]阶段质量审核工作报告'!$A:$A,0)+1,12),0)</f>
        <v/>
      </c>
      <c r="F7">
        <f>IFERROR(INDEX('[4]阶段质量审核工作报告'!$A:$J,MATCH("RDM",'[4]阶段质量审核工作报告'!$A:$A,0)+1,1),0)</f>
        <v/>
      </c>
      <c r="G7">
        <f>IFERROR(INDEX('[4]阶段质量审核工作报告'!$A:$J,MATCH("PP",'[4]阶段质量审核工作报告'!$A:$A,0)+1,1),0)</f>
        <v/>
      </c>
      <c r="H7">
        <f>IFERROR(INDEX('[4]阶段质量审核工作报告'!$A:$J,MATCH("PMC",'[4]阶段质量审核工作报告'!$A:$A,0)+1,1),0)</f>
        <v/>
      </c>
      <c r="I7">
        <f>IFERROR(INDEX('[4]阶段质量审核工作报告'!$A:$J,MATCH("CM",'[4]阶段质量审核工作报告'!$A:$A,0)+1,1),0)</f>
        <v/>
      </c>
      <c r="J7">
        <f>IFERROR(INDEX('[4]阶段质量审核工作报告'!$A:$J,MATCH("MT",'[4]阶段质量审核工作报告'!$A:$A,0)+1,1),0)</f>
        <v/>
      </c>
      <c r="K7">
        <f>IFERROR(INDEX('[4]阶段质量审核工作报告'!$A:$J,MATCH("MPM",'[4]阶段质量审核工作报告'!$A:$A,0)+1,1),0)</f>
        <v/>
      </c>
      <c r="L7">
        <f>IFERROR(INDEX('[4]阶段质量审核工作报告'!$A:$J,MATCH("VV",'[4]阶段质量审核工作报告'!$A:$A,0)+1,1),0)</f>
        <v/>
      </c>
      <c r="M7">
        <f>IFERROR(INDEX('[4]阶段质量审核工作报告'!$A:$J,MATCH("LD",'[4]阶段质量审核工作报告'!$A:$A,0)+1,1),0)</f>
        <v/>
      </c>
      <c r="N7">
        <f>IFERROR(INDEX('[4]阶段质量审核工作报告'!$A:$J,MATCH("II",'[4]阶段质量审核工作报告'!$A:$A,0)+1,1),0)</f>
        <v/>
      </c>
      <c r="O7">
        <f>IFERROR(INDEX('[4]阶段质量审核工作报告'!$A:$J,MATCH("工作产品",'[4]阶段质量审核工作报告'!$A:$A,0)+1,1),0)</f>
        <v/>
      </c>
    </row>
    <row r="8">
      <c r="A8" t="inlineStr">
        <is>
          <t>软件合格性测试及集成试运行阶段</t>
        </is>
      </c>
      <c r="B8">
        <f>IFERROR(INDEX('[5]阶段质量审核工作报告'!$A:$L,MATCH("阶段汇总统计",'[5]阶段质量审核工作报告'!$A:$A,0)+1,2),0)</f>
        <v/>
      </c>
      <c r="C8">
        <f>IFERROR(INDEX('[5]阶段质量审核工作报告'!$A:$L,MATCH("阶段汇总统计",'[5]阶段质量审核工作报告'!$A:$A,0)+1,8),0)</f>
        <v/>
      </c>
      <c r="D8">
        <f>IFERROR(INDEX('[5]阶段质量审核工作报告'!$A:$L,MATCH("阶段汇总统计",'[5]阶段质量审核工作报告'!$A:$A,0)+1,10),0)</f>
        <v/>
      </c>
      <c r="E8">
        <f>IFERROR(INDEX('[5]阶段质量审核工作报告'!$A:$L,MATCH("阶段汇总统计",'[5]阶段质量审核工作报告'!$A:$A,0)+1,12),0)</f>
        <v/>
      </c>
      <c r="F8">
        <f>IFERROR(INDEX('[5]阶段质量审核工作报告'!$A:$J,MATCH("RDM",'[5]阶段质量审核工作报告'!$A:$A,0)+1,1),0)</f>
        <v/>
      </c>
      <c r="G8">
        <f>IFERROR(INDEX('[5]阶段质量审核工作报告'!$A:$J,MATCH("PP",'[5]阶段质量审核工作报告'!$A:$A,0)+1,1),0)</f>
        <v/>
      </c>
      <c r="H8">
        <f>IFERROR(INDEX('[5]阶段质量审核工作报告'!$A:$J,MATCH("PMC",'[5]阶段质量审核工作报告'!$A:$A,0)+1,1),0)</f>
        <v/>
      </c>
      <c r="I8">
        <f>IFERROR(INDEX('[5]阶段质量审核工作报告'!$A:$J,MATCH("CM",'[5]阶段质量审核工作报告'!$A:$A,0)+1,1),0)</f>
        <v/>
      </c>
      <c r="J8">
        <f>IFERROR(INDEX('[5]阶段质量审核工作报告'!$A:$J,MATCH("MT",'[5]阶段质量审核工作报告'!$A:$A,0)+1,1),0)</f>
        <v/>
      </c>
      <c r="K8">
        <f>IFERROR(INDEX('[5]阶段质量审核工作报告'!$A:$J,MATCH("MPM",'[5]阶段质量审核工作报告'!$A:$A,0)+1,1),0)</f>
        <v/>
      </c>
      <c r="L8">
        <f>IFERROR(INDEX('[5]阶段质量审核工作报告'!$A:$J,MATCH("VV",'[5]阶段质量审核工作报告'!$A:$A,0)+1,1),0)</f>
        <v/>
      </c>
      <c r="M8">
        <f>IFERROR(INDEX('[5]阶段质量审核工作报告'!$A:$J,MATCH("LD",'[5]阶段质量审核工作报告'!$A:$A,0)+1,1),0)</f>
        <v/>
      </c>
      <c r="N8">
        <f>IFERROR(INDEX('[5]阶段质量审核工作报告'!$A:$J,MATCH("II",'[5]阶段质量审核工作报告'!$A:$A,0)+1,1),0)</f>
        <v/>
      </c>
      <c r="O8">
        <f>IFERROR(INDEX('[5]阶段质量审核工作报告'!$A:$J,MATCH("工作产品",'[5]阶段质量审核工作报告'!$A:$A,0)+1,1),0)</f>
        <v/>
      </c>
    </row>
    <row r="9">
      <c r="A9" t="inlineStr">
        <is>
          <t>验收与交付</t>
        </is>
      </c>
      <c r="B9">
        <f>IFERROR(INDEX('[6]阶段质量审核工作报告'!$A:$L,MATCH("阶段汇总统计",'[6]阶段质量审核工作报告'!$A:$A,0)+1,2),0)</f>
        <v/>
      </c>
      <c r="C9">
        <f>IFERROR(INDEX('[6]阶段质量审核工作报告'!$A:$L,MATCH("阶段汇总统计",'[6]阶段质量审核工作报告'!$A:$A,0)+1,8),0)</f>
        <v/>
      </c>
      <c r="D9">
        <f>IFERROR(INDEX('[6]阶段质量审核工作报告'!$A:$L,MATCH("阶段汇总统计",'[6]阶段质量审核工作报告'!$A:$A,0)+1,10),0)</f>
        <v/>
      </c>
      <c r="E9">
        <f>IFERROR(INDEX('[6]阶段质量审核工作报告'!$A:$L,MATCH("阶段汇总统计",'[6]阶段质量审核工作报告'!$A:$A,0)+1,12),0)</f>
        <v/>
      </c>
      <c r="F9">
        <f>IFERROR(INDEX('[6]阶段质量审核工作报告'!$A:$J,MATCH("RDM",'[6]阶段质量审核工作报告'!$A:$A,0)+1,1),0)</f>
        <v/>
      </c>
      <c r="G9">
        <f>IFERROR(INDEX('[6]阶段质量审核工作报告'!$A:$J,MATCH("PP",'[6]阶段质量审核工作报告'!$A:$A,0)+1,1),0)</f>
        <v/>
      </c>
      <c r="H9">
        <f>IFERROR(INDEX('[6]阶段质量审核工作报告'!$A:$J,MATCH("PMC",'[6]阶段质量审核工作报告'!$A:$A,0)+1,1),0)</f>
        <v/>
      </c>
      <c r="I9">
        <f>IFERROR(INDEX('[6]阶段质量审核工作报告'!$A:$J,MATCH("CM",'[6]阶段质量审核工作报告'!$A:$A,0)+1,1),0)</f>
        <v/>
      </c>
      <c r="J9">
        <f>IFERROR(INDEX('[6]阶段质量审核工作报告'!$A:$J,MATCH("MT",'[6]阶段质量审核工作报告'!$A:$A,0)+1,1),0)</f>
        <v/>
      </c>
      <c r="K9">
        <f>IFERROR(INDEX('[6]阶段质量审核工作报告'!$A:$J,MATCH("MPM",'[6]阶段质量审核工作报告'!$A:$A,0)+1,1),0)</f>
        <v/>
      </c>
      <c r="L9">
        <f>IFERROR(INDEX('[6]阶段质量审核工作报告'!$A:$J,MATCH("VV",'[6]阶段质量审核工作报告'!$A:$A,0)+1,1),0)</f>
        <v/>
      </c>
      <c r="M9">
        <f>IFERROR(INDEX('[6]阶段质量审核工作报告'!$A:$J,MATCH("LD",'[6]阶段质量审核工作报告'!$A:$A,0)+1,1),0)</f>
        <v/>
      </c>
      <c r="N9">
        <f>IFERROR(INDEX('[6]阶段质量审核工作报告'!$A:$J,MATCH("II",'[6]阶段质量审核工作报告'!$A:$A,0)+1,1),0)</f>
        <v/>
      </c>
      <c r="O9">
        <f>IFERROR(INDEX('[6]阶段质量审核工作报告'!$A:$J,MATCH("工作产品",'[6]阶段质量审核工作报告'!$A:$A,0)+1,1),0)</f>
        <v/>
      </c>
    </row>
    <row r="10">
      <c r="A10" s="2" t="inlineStr">
        <is>
          <t>合计</t>
        </is>
      </c>
      <c r="B10" s="2">
        <f>SUM(B4:B9)</f>
        <v/>
      </c>
      <c r="C10" s="2">
        <f>SUM(C4:C9)</f>
        <v/>
      </c>
      <c r="D10" s="2">
        <f>SUM(D4:D9)</f>
        <v/>
      </c>
      <c r="E10" s="2">
        <f>SUM(E4:E9)</f>
        <v/>
      </c>
      <c r="F10" s="2">
        <f>SUM(F4:F9)</f>
        <v/>
      </c>
      <c r="G10" s="2">
        <f>SUM(G4:G9)</f>
        <v/>
      </c>
      <c r="H10" s="2">
        <f>SUM(H4:H9)</f>
        <v/>
      </c>
      <c r="I10" s="2">
        <f>SUM(I4:I9)</f>
        <v/>
      </c>
      <c r="J10" s="2">
        <f>SUM(J4:J9)</f>
        <v/>
      </c>
      <c r="K10" s="2">
        <f>SUM(K4:K9)</f>
        <v/>
      </c>
      <c r="L10" s="2">
        <f>SUM(L4:L9)</f>
        <v/>
      </c>
      <c r="M10" s="2">
        <f>SUM(M4:M9)</f>
        <v/>
      </c>
      <c r="N10" s="2">
        <f>SUM(N4:N9)</f>
        <v/>
      </c>
      <c r="O10" s="2">
        <f>SUM(O4:O9)</f>
        <v/>
      </c>
    </row>
    <row r="12">
      <c r="A12" s="3">
        <f>IF(B10=0,"当前项目未发现不符合项。","当前项目共发现"&amp;B10&amp;"项不符合项，其中严重"&amp;E10&amp;"项。")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</sheetData>
  <mergeCells count="2">
    <mergeCell ref="A1:K1"/>
    <mergeCell ref="A12:O13"/>
  </mergeCells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2026-08-21T05:38:09Z</dcterms:created>
  <dcterms:modified xmlns:dcterms="http://purl.org/dc/terms/" xmlns:xsi="http://www.w3.org/2001/XMLSchema-instance" xsi:type="dcterms:W3CDTF">2026-08-21T05:38:09Z</dcterms:modified>
</cp:coreProperties>
</file>