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05-相控阵数字样机软件开发计划" sheetId="3" state="visible" r:id="rId3"/>
    <sheet xmlns:r="http://schemas.openxmlformats.org/officeDocument/2006/relationships" name="R005-相控阵数字样机软件开发计划" sheetId="4" state="visible" r:id="rId4"/>
    <sheet xmlns:r="http://schemas.openxmlformats.org/officeDocument/2006/relationships" name="C006-相控阵数字样机软件测量分析计划" sheetId="5" state="visible" r:id="rId5"/>
    <sheet xmlns:r="http://schemas.openxmlformats.org/officeDocument/2006/relationships" name="R006-相控阵数字样机软件测量分析计划" sheetId="6" state="visible" r:id="rId6"/>
    <sheet xmlns:r="http://schemas.openxmlformats.org/officeDocument/2006/relationships" name="C007-相控阵数字样机软件质量保证计划" sheetId="7" state="visible" r:id="rId7"/>
    <sheet xmlns:r="http://schemas.openxmlformats.org/officeDocument/2006/relationships" name="R007-相控阵数字样机软件质量保证计划" sheetId="8" state="visible" r:id="rId8"/>
    <sheet xmlns:r="http://schemas.openxmlformats.org/officeDocument/2006/relationships" name="C008-相控阵数字样机软件配置管理计划" sheetId="9" state="visible" r:id="rId9"/>
    <sheet xmlns:r="http://schemas.openxmlformats.org/officeDocument/2006/relationships" name="R008-相控阵数字样机软件配置管理计划" sheetId="10" state="visible" r:id="rId10"/>
    <sheet xmlns:r="http://schemas.openxmlformats.org/officeDocument/2006/relationships" name="C009-审核项目策划过程" sheetId="11" state="visible" r:id="rId11"/>
    <sheet xmlns:r="http://schemas.openxmlformats.org/officeDocument/2006/relationships" name="R009-审核项目策划过程" sheetId="12" state="visible" r:id="rId12"/>
    <sheet xmlns:r="http://schemas.openxmlformats.org/officeDocument/2006/relationships" name="C010-审核项目监控过程-双周" sheetId="13" state="visible" r:id="rId13"/>
    <sheet xmlns:r="http://schemas.openxmlformats.org/officeDocument/2006/relationships" name="R010-审核项目监控过程-双周" sheetId="14" state="visible" r:id="rId14"/>
    <sheet xmlns:r="http://schemas.openxmlformats.org/officeDocument/2006/relationships" name="C011-审核测量与绩效管理过程-双周" sheetId="15" state="visible" r:id="rId15"/>
    <sheet xmlns:r="http://schemas.openxmlformats.org/officeDocument/2006/relationships" name="R011-审核测量与绩效管理过程-双周" sheetId="16" state="visible" r:id="rId16"/>
    <sheet xmlns:r="http://schemas.openxmlformats.org/officeDocument/2006/relationships" name="C012-相控阵数字样机软件需求规格说明" sheetId="17" state="visible" r:id="rId17"/>
    <sheet xmlns:r="http://schemas.openxmlformats.org/officeDocument/2006/relationships" name="R012-相控阵数字样机软件需求规格说明" sheetId="18" state="visible" r:id="rId18"/>
    <sheet xmlns:r="http://schemas.openxmlformats.org/officeDocument/2006/relationships" name="C013-相控阵数字样机软件测试计划" sheetId="19" state="visible" r:id="rId19"/>
    <sheet xmlns:r="http://schemas.openxmlformats.org/officeDocument/2006/relationships" name="R013-相控阵数字样机软件测试计划" sheetId="20" state="visible" r:id="rId20"/>
    <sheet xmlns:r="http://schemas.openxmlformats.org/officeDocument/2006/relationships" name="C014-审核验证与确认过程" sheetId="21" state="visible" r:id="rId21"/>
    <sheet xmlns:r="http://schemas.openxmlformats.org/officeDocument/2006/relationships" name="R014-审核验证与确认过程" sheetId="22" state="visible" r:id="rId22"/>
    <sheet xmlns:r="http://schemas.openxmlformats.org/officeDocument/2006/relationships" name="C015-审核需求开发与管理过程" sheetId="23" state="visible" r:id="rId23"/>
    <sheet xmlns:r="http://schemas.openxmlformats.org/officeDocument/2006/relationships" name="R015-审核需求开发与管理过程" sheetId="24" state="visible" r:id="rId24"/>
    <sheet xmlns:r="http://schemas.openxmlformats.org/officeDocument/2006/relationships" name="C016-审核配置管理过程-阶段" sheetId="25" state="visible" r:id="rId25"/>
    <sheet xmlns:r="http://schemas.openxmlformats.org/officeDocument/2006/relationships" name="R016-审核配置管理过程-阶段" sheetId="26" state="visible" r:id="rId26"/>
    <sheet xmlns:r="http://schemas.openxmlformats.org/officeDocument/2006/relationships" name="C017-审核项目监控过程-阶段" sheetId="27" state="visible" r:id="rId27"/>
    <sheet xmlns:r="http://schemas.openxmlformats.org/officeDocument/2006/relationships" name="R017-审核项目监控过程-阶段" sheetId="28" state="visible" r:id="rId28"/>
    <sheet xmlns:r="http://schemas.openxmlformats.org/officeDocument/2006/relationships" name="C018-审核测量与绩效管理过程-阶段" sheetId="29" state="visible" r:id="rId29"/>
    <sheet xmlns:r="http://schemas.openxmlformats.org/officeDocument/2006/relationships" name="R018-审核测量与绩效管理过程-阶段" sheetId="30" state="visible" r:id="rId30"/>
    <sheet xmlns:r="http://schemas.openxmlformats.org/officeDocument/2006/relationships" name="_计算" sheetId="31" state="hidden" r:id="rId31"/>
  </sheets>
  <definedNames>
    <definedName name="_xlnm._FilterDatabase" localSheetId="0" hidden="1">'审核目录'!$A$4:$D$18</definedName>
    <definedName name="_xlnm.Print_Area" localSheetId="0">'审核目录'!$A$1:$D$18</definedName>
    <definedName name="_xlnm.Print_Titles" localSheetId="1">'阶段质量审核工作报告'!$1:$7</definedName>
    <definedName name="_xlnm.Print_Area" localSheetId="1">'阶段质量审核工作报告'!$A$1:$L$40</definedName>
    <definedName name="_xlnm.Print_Titles" localSheetId="2">'C005-相控阵数字样机软件开发计划'!$1:$6</definedName>
    <definedName name="_xlnm.Print_Area" localSheetId="2">'C005-相控阵数字样机软件开发计划'!$A$1:$L$36</definedName>
    <definedName name="_xlnm.Print_Titles" localSheetId="3">'R005-相控阵数字样机软件开发计划'!$1:$12</definedName>
    <definedName name="_xlnm.Print_Area" localSheetId="3">'R005-相控阵数字样机软件开发计划'!$B$1:$K$17</definedName>
    <definedName name="_xlnm.Print_Titles" localSheetId="4">'C006-相控阵数字样机软件测量分析计划'!$1:$6</definedName>
    <definedName name="_xlnm.Print_Area" localSheetId="4">'C006-相控阵数字样机软件测量分析计划'!$A$1:$L$20</definedName>
    <definedName name="_xlnm.Print_Titles" localSheetId="5">'R006-相控阵数字样机软件测量分析计划'!$1:$12</definedName>
    <definedName name="_xlnm.Print_Area" localSheetId="5">'R006-相控阵数字样机软件测量分析计划'!$B$1:$K$18</definedName>
    <definedName name="_xlnm.Print_Titles" localSheetId="6">'C007-相控阵数字样机软件质量保证计划'!$1:$6</definedName>
    <definedName name="_xlnm.Print_Area" localSheetId="6">'C007-相控阵数字样机软件质量保证计划'!$A$1:$L$20</definedName>
    <definedName name="_xlnm.Print_Titles" localSheetId="7">'R007-相控阵数字样机软件质量保证计划'!$1:$12</definedName>
    <definedName name="_xlnm.Print_Area" localSheetId="7">'R007-相控阵数字样机软件质量保证计划'!$B$1:$K$18</definedName>
    <definedName name="_xlnm.Print_Titles" localSheetId="8">'C008-相控阵数字样机软件配置管理计划'!$1:$6</definedName>
    <definedName name="_xlnm.Print_Area" localSheetId="8">'C008-相控阵数字样机软件配置管理计划'!$A$1:$L$20</definedName>
    <definedName name="_xlnm.Print_Titles" localSheetId="9">'R008-相控阵数字样机软件配置管理计划'!$1:$12</definedName>
    <definedName name="_xlnm.Print_Area" localSheetId="9">'R008-相控阵数字样机软件配置管理计划'!$B$1:$K$17</definedName>
    <definedName name="_xlnm.Print_Titles" localSheetId="10">'C009-审核项目策划过程'!$1:$6</definedName>
    <definedName name="_xlnm.Print_Area" localSheetId="10">'C009-审核项目策划过程'!$A$1:$L$37</definedName>
    <definedName name="_xlnm.Print_Titles" localSheetId="11">'R009-审核项目策划过程'!$1:$12</definedName>
    <definedName name="_xlnm.Print_Area" localSheetId="11">'R009-审核项目策划过程'!$B$1:$K$17</definedName>
    <definedName name="_xlnm.Print_Titles" localSheetId="12">'C010-审核项目监控过程-双周'!$1:$6</definedName>
    <definedName name="_xlnm.Print_Area" localSheetId="12">'C010-审核项目监控过程-双周'!$A$1:$L$45</definedName>
    <definedName name="_xlnm.Print_Titles" localSheetId="13">'R010-审核项目监控过程-双周'!$1:$12</definedName>
    <definedName name="_xlnm.Print_Area" localSheetId="13">'R010-审核项目监控过程-双周'!$B$1:$K$17</definedName>
    <definedName name="_xlnm.Print_Titles" localSheetId="14">'C011-审核测量与绩效管理过程-双周'!$1:$6</definedName>
    <definedName name="_xlnm.Print_Area" localSheetId="14">'C011-审核测量与绩效管理过程-双周'!$A$1:$L$27</definedName>
    <definedName name="_xlnm.Print_Titles" localSheetId="15">'R011-审核测量与绩效管理过程-双周'!$1:$12</definedName>
    <definedName name="_xlnm.Print_Area" localSheetId="15">'R011-审核测量与绩效管理过程-双周'!$B$1:$K$18</definedName>
    <definedName name="_xlnm.Print_Titles" localSheetId="16">'C012-相控阵数字样机软件需求规格说明'!$1:$6</definedName>
    <definedName name="_xlnm.Print_Area" localSheetId="16">'C012-相控阵数字样机软件需求规格说明'!$A$1:$L$31</definedName>
    <definedName name="_xlnm.Print_Titles" localSheetId="17">'R012-相控阵数字样机软件需求规格说明'!$1:$12</definedName>
    <definedName name="_xlnm.Print_Area" localSheetId="17">'R012-相控阵数字样机软件需求规格说明'!$B$1:$K$18</definedName>
    <definedName name="_xlnm.Print_Titles" localSheetId="18">'C013-相控阵数字样机软件测试计划'!$1:$6</definedName>
    <definedName name="_xlnm.Print_Area" localSheetId="18">'C013-相控阵数字样机软件测试计划'!$A$1:$L$22</definedName>
    <definedName name="_xlnm.Print_Titles" localSheetId="19">'R013-相控阵数字样机软件测试计划'!$1:$12</definedName>
    <definedName name="_xlnm.Print_Area" localSheetId="19">'R013-相控阵数字样机软件测试计划'!$B$1:$K$18</definedName>
    <definedName name="_xlnm.Print_Titles" localSheetId="20">'C014-审核验证与确认过程'!$1:$6</definedName>
    <definedName name="_xlnm.Print_Area" localSheetId="20">'C014-审核验证与确认过程'!$A$1:$L$39</definedName>
    <definedName name="_xlnm.Print_Titles" localSheetId="21">'R014-审核验证与确认过程'!$1:$12</definedName>
    <definedName name="_xlnm.Print_Area" localSheetId="21">'R014-审核验证与确认过程'!$B$1:$K$18</definedName>
    <definedName name="_xlnm.Print_Titles" localSheetId="22">'C015-审核需求开发与管理过程'!$1:$6</definedName>
    <definedName name="_xlnm.Print_Area" localSheetId="22">'C015-审核需求开发与管理过程'!$A$1:$L$42</definedName>
    <definedName name="_xlnm.Print_Titles" localSheetId="23">'R015-审核需求开发与管理过程'!$1:$12</definedName>
    <definedName name="_xlnm.Print_Area" localSheetId="23">'R015-审核需求开发与管理过程'!$B$1:$K$18</definedName>
    <definedName name="_xlnm.Print_Titles" localSheetId="24">'C016-审核配置管理过程-阶段'!$1:$6</definedName>
    <definedName name="_xlnm.Print_Area" localSheetId="24">'C016-审核配置管理过程-阶段'!$A$1:$L$34</definedName>
    <definedName name="_xlnm.Print_Titles" localSheetId="25">'R016-审核配置管理过程-阶段'!$1:$12</definedName>
    <definedName name="_xlnm.Print_Area" localSheetId="25">'R016-审核配置管理过程-阶段'!$B$1:$K$18</definedName>
    <definedName name="_xlnm.Print_Titles" localSheetId="26">'C017-审核项目监控过程-阶段'!$1:$6</definedName>
    <definedName name="_xlnm.Print_Area" localSheetId="26">'C017-审核项目监控过程-阶段'!$A$1:$L$46</definedName>
    <definedName name="_xlnm.Print_Titles" localSheetId="27">'R017-审核项目监控过程-阶段'!$1:$12</definedName>
    <definedName name="_xlnm.Print_Area" localSheetId="27">'R017-审核项目监控过程-阶段'!$B$1:$K$18</definedName>
    <definedName name="_xlnm.Print_Titles" localSheetId="28">'C018-审核测量与绩效管理过程-阶段'!$1:$6</definedName>
    <definedName name="_xlnm.Print_Area" localSheetId="28">'C018-审核测量与绩效管理过程-阶段'!$A$1:$L$26</definedName>
    <definedName name="_xlnm.Print_Titles" localSheetId="29">'R018-审核测量与绩效管理过程-阶段'!$1:$12</definedName>
    <definedName name="_xlnm.Print_Area" localSheetId="29">'R018-审核测量与绩效管理过程-阶段'!$B$1:$K$17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05-&#30456;&#25511;&#38453;&#25968;&#23383;&#26679;&#26426;&#36719;&#20214;&#24320;&#21457;&#35745;&#21010;'!A1" TargetMode="External" Id="rId1"/><Relationship Type="http://schemas.openxmlformats.org/officeDocument/2006/relationships/hyperlink" Target="#'R005-&#30456;&#25511;&#38453;&#25968;&#23383;&#26679;&#26426;&#36719;&#20214;&#24320;&#21457;&#35745;&#21010;'!A1" TargetMode="External" Id="rId2"/><Relationship Type="http://schemas.openxmlformats.org/officeDocument/2006/relationships/hyperlink" Target="#'C006-&#30456;&#25511;&#38453;&#25968;&#23383;&#26679;&#26426;&#36719;&#20214;&#27979;&#37327;&#20998;&#26512;&#35745;&#21010;'!A1" TargetMode="External" Id="rId3"/><Relationship Type="http://schemas.openxmlformats.org/officeDocument/2006/relationships/hyperlink" Target="#'R006-&#30456;&#25511;&#38453;&#25968;&#23383;&#26679;&#26426;&#36719;&#20214;&#27979;&#37327;&#20998;&#26512;&#35745;&#21010;'!A1" TargetMode="External" Id="rId4"/><Relationship Type="http://schemas.openxmlformats.org/officeDocument/2006/relationships/hyperlink" Target="#'C007-&#30456;&#25511;&#38453;&#25968;&#23383;&#26679;&#26426;&#36719;&#20214;&#36136;&#37327;&#20445;&#35777;&#35745;&#21010;'!A1" TargetMode="External" Id="rId5"/><Relationship Type="http://schemas.openxmlformats.org/officeDocument/2006/relationships/hyperlink" Target="#'R007-&#30456;&#25511;&#38453;&#25968;&#23383;&#26679;&#26426;&#36719;&#20214;&#36136;&#37327;&#20445;&#35777;&#35745;&#21010;'!A1" TargetMode="External" Id="rId6"/><Relationship Type="http://schemas.openxmlformats.org/officeDocument/2006/relationships/hyperlink" Target="#'C008-&#30456;&#25511;&#38453;&#25968;&#23383;&#26679;&#26426;&#36719;&#20214;&#37197;&#32622;&#31649;&#29702;&#35745;&#21010;'!A1" TargetMode="External" Id="rId7"/><Relationship Type="http://schemas.openxmlformats.org/officeDocument/2006/relationships/hyperlink" Target="#'R008-&#30456;&#25511;&#38453;&#25968;&#23383;&#26679;&#26426;&#36719;&#20214;&#37197;&#32622;&#31649;&#29702;&#35745;&#21010;'!A1" TargetMode="External" Id="rId8"/><Relationship Type="http://schemas.openxmlformats.org/officeDocument/2006/relationships/hyperlink" Target="#'C009-&#23457;&#26680;&#39033;&#30446;&#31574;&#21010;&#36807;&#31243;'!A1" TargetMode="External" Id="rId9"/><Relationship Type="http://schemas.openxmlformats.org/officeDocument/2006/relationships/hyperlink" Target="#'R009-&#23457;&#26680;&#39033;&#30446;&#31574;&#21010;&#36807;&#31243;'!A1" TargetMode="External" Id="rId10"/><Relationship Type="http://schemas.openxmlformats.org/officeDocument/2006/relationships/hyperlink" Target="#'C010-&#23457;&#26680;&#39033;&#30446;&#30417;&#25511;&#36807;&#31243;-&#21452;&#21608;'!A1" TargetMode="External" Id="rId11"/><Relationship Type="http://schemas.openxmlformats.org/officeDocument/2006/relationships/hyperlink" Target="#'R010-&#23457;&#26680;&#39033;&#30446;&#30417;&#25511;&#36807;&#31243;-&#21452;&#21608;'!A1" TargetMode="External" Id="rId12"/><Relationship Type="http://schemas.openxmlformats.org/officeDocument/2006/relationships/hyperlink" Target="#'C011-&#23457;&#26680;&#27979;&#37327;&#19982;&#32489;&#25928;&#31649;&#29702;&#36807;&#31243;-&#21452;&#21608;'!A1" TargetMode="External" Id="rId13"/><Relationship Type="http://schemas.openxmlformats.org/officeDocument/2006/relationships/hyperlink" Target="#'R011-&#23457;&#26680;&#27979;&#37327;&#19982;&#32489;&#25928;&#31649;&#29702;&#36807;&#31243;-&#21452;&#21608;'!A1" TargetMode="External" Id="rId14"/><Relationship Type="http://schemas.openxmlformats.org/officeDocument/2006/relationships/hyperlink" Target="#'C012-&#30456;&#25511;&#38453;&#25968;&#23383;&#26679;&#26426;&#36719;&#20214;&#38656;&#27714;&#35268;&#26684;&#35828;&#26126;'!A1" TargetMode="External" Id="rId15"/><Relationship Type="http://schemas.openxmlformats.org/officeDocument/2006/relationships/hyperlink" Target="#'R012-&#30456;&#25511;&#38453;&#25968;&#23383;&#26679;&#26426;&#36719;&#20214;&#38656;&#27714;&#35268;&#26684;&#35828;&#26126;'!A1" TargetMode="External" Id="rId16"/><Relationship Type="http://schemas.openxmlformats.org/officeDocument/2006/relationships/hyperlink" Target="#'C013-&#30456;&#25511;&#38453;&#25968;&#23383;&#26679;&#26426;&#36719;&#20214;&#27979;&#35797;&#35745;&#21010;'!A1" TargetMode="External" Id="rId17"/><Relationship Type="http://schemas.openxmlformats.org/officeDocument/2006/relationships/hyperlink" Target="#'R013-&#30456;&#25511;&#38453;&#25968;&#23383;&#26679;&#26426;&#36719;&#20214;&#27979;&#35797;&#35745;&#21010;'!A1" TargetMode="External" Id="rId18"/><Relationship Type="http://schemas.openxmlformats.org/officeDocument/2006/relationships/hyperlink" Target="#'C014-&#23457;&#26680;&#39564;&#35777;&#19982;&#30830;&#35748;&#36807;&#31243;'!A1" TargetMode="External" Id="rId19"/><Relationship Type="http://schemas.openxmlformats.org/officeDocument/2006/relationships/hyperlink" Target="#'R014-&#23457;&#26680;&#39564;&#35777;&#19982;&#30830;&#35748;&#36807;&#31243;'!A1" TargetMode="External" Id="rId20"/><Relationship Type="http://schemas.openxmlformats.org/officeDocument/2006/relationships/hyperlink" Target="#'C015-&#23457;&#26680;&#38656;&#27714;&#24320;&#21457;&#19982;&#31649;&#29702;&#36807;&#31243;'!A1" TargetMode="External" Id="rId21"/><Relationship Type="http://schemas.openxmlformats.org/officeDocument/2006/relationships/hyperlink" Target="#'R015-&#23457;&#26680;&#38656;&#27714;&#24320;&#21457;&#19982;&#31649;&#29702;&#36807;&#31243;'!A1" TargetMode="External" Id="rId22"/><Relationship Type="http://schemas.openxmlformats.org/officeDocument/2006/relationships/hyperlink" Target="#'C016-&#23457;&#26680;&#37197;&#32622;&#31649;&#29702;&#36807;&#31243;-&#38454;&#27573;'!A1" TargetMode="External" Id="rId23"/><Relationship Type="http://schemas.openxmlformats.org/officeDocument/2006/relationships/hyperlink" Target="#'R016-&#23457;&#26680;&#37197;&#32622;&#31649;&#29702;&#36807;&#31243;-&#38454;&#27573;'!A1" TargetMode="External" Id="rId24"/><Relationship Type="http://schemas.openxmlformats.org/officeDocument/2006/relationships/hyperlink" Target="#'C017-&#23457;&#26680;&#39033;&#30446;&#30417;&#25511;&#36807;&#31243;-&#38454;&#27573;'!A1" TargetMode="External" Id="rId25"/><Relationship Type="http://schemas.openxmlformats.org/officeDocument/2006/relationships/hyperlink" Target="#'R017-&#23457;&#26680;&#39033;&#30446;&#30417;&#25511;&#36807;&#31243;-&#38454;&#27573;'!A1" TargetMode="External" Id="rId26"/><Relationship Type="http://schemas.openxmlformats.org/officeDocument/2006/relationships/hyperlink" Target="#'C018-&#23457;&#26680;&#27979;&#37327;&#19982;&#32489;&#25928;&#31649;&#29702;&#36807;&#31243;-&#38454;&#27573;'!A1" TargetMode="External" Id="rId27"/><Relationship Type="http://schemas.openxmlformats.org/officeDocument/2006/relationships/hyperlink" Target="#'R018-&#23457;&#26680;&#27979;&#37327;&#19982;&#32489;&#25928;&#31649;&#29702;&#36807;&#31243;-&#38454;&#27573;'!A1" TargetMode="External" Id="rId28"/></Relationships>
</file>

<file path=xl/worksheets/sheet1.xml><?xml version="1.0" encoding="utf-8"?>
<worksheet xmlns="http://schemas.openxmlformats.org/spreadsheetml/2006/main">
  <sheetPr>
    <outlinePr summaryBelow="1" summaryRight="1"/>
    <pageSetUpPr fitToPage="1"/>
  </sheetPr>
  <dimension ref="A1:D18"/>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阶段：需求分析阶段</t>
        </is>
      </c>
      <c r="D2" s="3" t="n"/>
    </row>
    <row r="4">
      <c r="A4" s="4" t="inlineStr">
        <is>
          <t>流水号</t>
        </is>
      </c>
      <c r="B4" s="4" t="inlineStr">
        <is>
          <t>审核对象</t>
        </is>
      </c>
      <c r="C4" s="4" t="inlineStr">
        <is>
          <t>检查单</t>
        </is>
      </c>
      <c r="D4" s="4" t="inlineStr">
        <is>
          <t>审核报告</t>
        </is>
      </c>
    </row>
    <row r="5" ht="18" customHeight="1">
      <c r="A5" s="3" t="n">
        <v>5</v>
      </c>
      <c r="B5" s="3" t="inlineStr">
        <is>
          <t>相控阵数字样机软件开发计划</t>
        </is>
      </c>
      <c r="C5" s="5" t="inlineStr">
        <is>
          <t>打开检查单</t>
        </is>
      </c>
      <c r="D5" s="5" t="inlineStr">
        <is>
          <t>打开审核报告</t>
        </is>
      </c>
    </row>
    <row r="6" ht="18" customHeight="1">
      <c r="A6" s="3" t="n">
        <v>6</v>
      </c>
      <c r="B6" s="3" t="inlineStr">
        <is>
          <t>相控阵数字样机软件测量分析计划</t>
        </is>
      </c>
      <c r="C6" s="5" t="inlineStr">
        <is>
          <t>打开检查单</t>
        </is>
      </c>
      <c r="D6" s="5" t="inlineStr">
        <is>
          <t>打开审核报告</t>
        </is>
      </c>
    </row>
    <row r="7" ht="18" customHeight="1">
      <c r="A7" s="3" t="n">
        <v>7</v>
      </c>
      <c r="B7" s="3" t="inlineStr">
        <is>
          <t>相控阵数字样机软件质量保证计划</t>
        </is>
      </c>
      <c r="C7" s="5" t="inlineStr">
        <is>
          <t>打开检查单</t>
        </is>
      </c>
      <c r="D7" s="5" t="inlineStr">
        <is>
          <t>打开审核报告</t>
        </is>
      </c>
    </row>
    <row r="8" ht="18" customHeight="1">
      <c r="A8" s="3" t="n">
        <v>8</v>
      </c>
      <c r="B8" s="3" t="inlineStr">
        <is>
          <t>相控阵数字样机软件配置管理计划</t>
        </is>
      </c>
      <c r="C8" s="5" t="inlineStr">
        <is>
          <t>打开检查单</t>
        </is>
      </c>
      <c r="D8" s="5" t="inlineStr">
        <is>
          <t>打开审核报告</t>
        </is>
      </c>
    </row>
    <row r="9" ht="18" customHeight="1">
      <c r="A9" s="3" t="n">
        <v>9</v>
      </c>
      <c r="B9" s="3" t="inlineStr">
        <is>
          <t>审核项目策划过程</t>
        </is>
      </c>
      <c r="C9" s="5" t="inlineStr">
        <is>
          <t>打开检查单</t>
        </is>
      </c>
      <c r="D9" s="5" t="inlineStr">
        <is>
          <t>打开审核报告</t>
        </is>
      </c>
    </row>
    <row r="10" ht="18" customHeight="1">
      <c r="A10" s="3" t="n">
        <v>10</v>
      </c>
      <c r="B10" s="3" t="inlineStr">
        <is>
          <t>审核项目监控过程-双周</t>
        </is>
      </c>
      <c r="C10" s="5" t="inlineStr">
        <is>
          <t>打开检查单</t>
        </is>
      </c>
      <c r="D10" s="5" t="inlineStr">
        <is>
          <t>打开审核报告</t>
        </is>
      </c>
    </row>
    <row r="11" ht="18" customHeight="1">
      <c r="A11" s="3" t="n">
        <v>11</v>
      </c>
      <c r="B11" s="3" t="inlineStr">
        <is>
          <t>审核测量与绩效管理过程-双周</t>
        </is>
      </c>
      <c r="C11" s="5" t="inlineStr">
        <is>
          <t>打开检查单</t>
        </is>
      </c>
      <c r="D11" s="5" t="inlineStr">
        <is>
          <t>打开审核报告</t>
        </is>
      </c>
    </row>
    <row r="12" ht="18" customHeight="1">
      <c r="A12" s="3" t="n">
        <v>12</v>
      </c>
      <c r="B12" s="3" t="inlineStr">
        <is>
          <t>相控阵数字样机软件需求规格说明</t>
        </is>
      </c>
      <c r="C12" s="5" t="inlineStr">
        <is>
          <t>打开检查单</t>
        </is>
      </c>
      <c r="D12" s="5" t="inlineStr">
        <is>
          <t>打开审核报告</t>
        </is>
      </c>
    </row>
    <row r="13" ht="18" customHeight="1">
      <c r="A13" s="3" t="n">
        <v>13</v>
      </c>
      <c r="B13" s="3" t="inlineStr">
        <is>
          <t>相控阵数字样机软件测试计划</t>
        </is>
      </c>
      <c r="C13" s="5" t="inlineStr">
        <is>
          <t>打开检查单</t>
        </is>
      </c>
      <c r="D13" s="5" t="inlineStr">
        <is>
          <t>打开审核报告</t>
        </is>
      </c>
    </row>
    <row r="14" ht="18" customHeight="1">
      <c r="A14" s="3" t="n">
        <v>14</v>
      </c>
      <c r="B14" s="3" t="inlineStr">
        <is>
          <t>审核验证与确认过程</t>
        </is>
      </c>
      <c r="C14" s="5" t="inlineStr">
        <is>
          <t>打开检查单</t>
        </is>
      </c>
      <c r="D14" s="5" t="inlineStr">
        <is>
          <t>打开审核报告</t>
        </is>
      </c>
    </row>
    <row r="15" ht="18" customHeight="1">
      <c r="A15" s="3" t="n">
        <v>15</v>
      </c>
      <c r="B15" s="3" t="inlineStr">
        <is>
          <t>审核需求开发与管理过程</t>
        </is>
      </c>
      <c r="C15" s="5" t="inlineStr">
        <is>
          <t>打开检查单</t>
        </is>
      </c>
      <c r="D15" s="5" t="inlineStr">
        <is>
          <t>打开审核报告</t>
        </is>
      </c>
    </row>
    <row r="16" ht="18" customHeight="1">
      <c r="A16" s="3" t="n">
        <v>16</v>
      </c>
      <c r="B16" s="3" t="inlineStr">
        <is>
          <t>审核配置管理过程-阶段</t>
        </is>
      </c>
      <c r="C16" s="5" t="inlineStr">
        <is>
          <t>打开检查单</t>
        </is>
      </c>
      <c r="D16" s="5" t="inlineStr">
        <is>
          <t>打开审核报告</t>
        </is>
      </c>
    </row>
    <row r="17" ht="18" customHeight="1">
      <c r="A17" s="3" t="n">
        <v>17</v>
      </c>
      <c r="B17" s="3" t="inlineStr">
        <is>
          <t>审核项目监控过程-阶段</t>
        </is>
      </c>
      <c r="C17" s="5" t="inlineStr">
        <is>
          <t>打开检查单</t>
        </is>
      </c>
      <c r="D17" s="5" t="inlineStr">
        <is>
          <t>打开审核报告</t>
        </is>
      </c>
    </row>
    <row r="18" ht="18" customHeight="1">
      <c r="A18" s="3" t="n">
        <v>18</v>
      </c>
      <c r="B18" s="3" t="inlineStr">
        <is>
          <t>审核测量与绩效管理过程-阶段</t>
        </is>
      </c>
      <c r="C18" s="5" t="inlineStr">
        <is>
          <t>打开检查单</t>
        </is>
      </c>
      <c r="D18" s="5" t="inlineStr">
        <is>
          <t>打开审核报告</t>
        </is>
      </c>
    </row>
  </sheetData>
  <autoFilter ref="A4:D18"/>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 xmlns:r="http://schemas.openxmlformats.org/officeDocument/2006/relationships" ref="C14" r:id="rId19"/>
    <hyperlink xmlns:r="http://schemas.openxmlformats.org/officeDocument/2006/relationships" ref="D14" r:id="rId20"/>
    <hyperlink xmlns:r="http://schemas.openxmlformats.org/officeDocument/2006/relationships" ref="C15" r:id="rId21"/>
    <hyperlink xmlns:r="http://schemas.openxmlformats.org/officeDocument/2006/relationships" ref="D15" r:id="rId22"/>
    <hyperlink xmlns:r="http://schemas.openxmlformats.org/officeDocument/2006/relationships" ref="C16" r:id="rId23"/>
    <hyperlink xmlns:r="http://schemas.openxmlformats.org/officeDocument/2006/relationships" ref="D16" r:id="rId24"/>
    <hyperlink xmlns:r="http://schemas.openxmlformats.org/officeDocument/2006/relationships" ref="C17" r:id="rId25"/>
    <hyperlink xmlns:r="http://schemas.openxmlformats.org/officeDocument/2006/relationships" ref="D17" r:id="rId26"/>
    <hyperlink xmlns:r="http://schemas.openxmlformats.org/officeDocument/2006/relationships" ref="C18" r:id="rId27"/>
    <hyperlink xmlns:r="http://schemas.openxmlformats.org/officeDocument/2006/relationships" ref="D18" r:id="rId2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40"/>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需求分析阶段</t>
        </is>
      </c>
      <c r="J3" s="3" t="n"/>
      <c r="K3" s="3" t="n"/>
      <c r="L3" s="3" t="n"/>
    </row>
    <row r="4">
      <c r="A4" s="4" t="inlineStr">
        <is>
          <t>报告起止日期</t>
        </is>
      </c>
      <c r="B4" s="4" t="n"/>
      <c r="C4" s="3" t="inlineStr">
        <is>
          <t>2025-12-29 至 2026-01-23</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双周汇总：2026-01-12</t>
        </is>
      </c>
      <c r="B8" s="6" t="n"/>
      <c r="C8" s="6" t="n"/>
      <c r="D8" s="6" t="n"/>
      <c r="E8" s="6" t="n"/>
      <c r="F8" s="6" t="n"/>
      <c r="G8" s="6" t="n"/>
      <c r="H8" s="6" t="n"/>
      <c r="I8" s="6" t="n"/>
      <c r="J8" s="6" t="n"/>
      <c r="K8" s="6" t="n"/>
      <c r="L8" s="6" t="n"/>
    </row>
    <row r="9" ht="30" customHeight="1">
      <c r="A9" s="3" t="n">
        <v>5</v>
      </c>
      <c r="B9" s="3" t="inlineStr">
        <is>
          <t>相控阵数字样机软件开发计划</t>
        </is>
      </c>
      <c r="C9" s="3" t="inlineStr">
        <is>
          <t>2026-01-06</t>
        </is>
      </c>
      <c r="D9" s="3" t="inlineStr">
        <is>
          <t>双周</t>
        </is>
      </c>
      <c r="E9" s="3" t="n"/>
      <c r="F9" s="3" t="inlineStr">
        <is>
          <t>未发现不符合项</t>
        </is>
      </c>
      <c r="G9" s="3" t="n"/>
      <c r="H9" s="3" t="n"/>
      <c r="I9" s="3" t="n"/>
      <c r="J9" s="3" t="n"/>
      <c r="K9" s="3" t="n"/>
      <c r="L9" s="3" t="inlineStr">
        <is>
          <t>未确认</t>
        </is>
      </c>
    </row>
    <row r="10" ht="30" customHeight="1">
      <c r="A10" s="3" t="n">
        <v>6</v>
      </c>
      <c r="B10" s="3">
        <f>'_计算'!B2</f>
        <v/>
      </c>
      <c r="C10" s="3" t="inlineStr">
        <is>
          <t>2026-01-06</t>
        </is>
      </c>
      <c r="D10" s="3" t="inlineStr">
        <is>
          <t>双周</t>
        </is>
      </c>
      <c r="E10" s="3">
        <f>'_计算'!D2</f>
        <v/>
      </c>
      <c r="F10" s="3">
        <f>'_计算'!E2</f>
        <v/>
      </c>
      <c r="G10" s="3" t="n"/>
      <c r="H10" s="3" t="n"/>
      <c r="I10" s="3" t="n"/>
      <c r="J10" s="3">
        <f>'_计算'!F2</f>
        <v/>
      </c>
      <c r="K10" s="3">
        <f>'_计算'!G2</f>
        <v/>
      </c>
      <c r="L10" s="3" t="inlineStr">
        <is>
          <t>未确认</t>
        </is>
      </c>
    </row>
    <row r="11" ht="30" customHeight="1">
      <c r="A11" s="3" t="n">
        <v>6</v>
      </c>
      <c r="B11" s="3">
        <f>'_计算'!B3</f>
        <v/>
      </c>
      <c r="C11" s="3" t="inlineStr">
        <is>
          <t>2026-01-06</t>
        </is>
      </c>
      <c r="D11" s="3" t="inlineStr">
        <is>
          <t>双周</t>
        </is>
      </c>
      <c r="E11" s="3">
        <f>'_计算'!D3</f>
        <v/>
      </c>
      <c r="F11" s="3">
        <f>'_计算'!E3</f>
        <v/>
      </c>
      <c r="G11" s="3" t="n"/>
      <c r="H11" s="3" t="n"/>
      <c r="I11" s="3" t="n"/>
      <c r="J11" s="3">
        <f>'_计算'!F3</f>
        <v/>
      </c>
      <c r="K11" s="3">
        <f>'_计算'!G3</f>
        <v/>
      </c>
      <c r="L11" s="3" t="inlineStr">
        <is>
          <t>未确认</t>
        </is>
      </c>
    </row>
    <row r="12" ht="30" customHeight="1">
      <c r="A12" s="3" t="n">
        <v>7</v>
      </c>
      <c r="B12" s="3">
        <f>'_计算'!B4</f>
        <v/>
      </c>
      <c r="C12" s="3" t="inlineStr">
        <is>
          <t>2026-01-06</t>
        </is>
      </c>
      <c r="D12" s="3" t="inlineStr">
        <is>
          <t>双周</t>
        </is>
      </c>
      <c r="E12" s="3">
        <f>'_计算'!D4</f>
        <v/>
      </c>
      <c r="F12" s="3">
        <f>'_计算'!E4</f>
        <v/>
      </c>
      <c r="G12" s="3" t="n"/>
      <c r="H12" s="3" t="n"/>
      <c r="I12" s="3" t="n"/>
      <c r="J12" s="3">
        <f>'_计算'!F4</f>
        <v/>
      </c>
      <c r="K12" s="3">
        <f>'_计算'!G4</f>
        <v/>
      </c>
      <c r="L12" s="3" t="inlineStr">
        <is>
          <t>未确认</t>
        </is>
      </c>
    </row>
    <row r="13" ht="30" customHeight="1">
      <c r="A13" s="3" t="n">
        <v>7</v>
      </c>
      <c r="B13" s="3">
        <f>'_计算'!B5</f>
        <v/>
      </c>
      <c r="C13" s="3" t="inlineStr">
        <is>
          <t>2026-01-06</t>
        </is>
      </c>
      <c r="D13" s="3" t="inlineStr">
        <is>
          <t>双周</t>
        </is>
      </c>
      <c r="E13" s="3">
        <f>'_计算'!D5</f>
        <v/>
      </c>
      <c r="F13" s="3">
        <f>'_计算'!E5</f>
        <v/>
      </c>
      <c r="G13" s="3" t="n"/>
      <c r="H13" s="3" t="n"/>
      <c r="I13" s="3" t="n"/>
      <c r="J13" s="3">
        <f>'_计算'!F5</f>
        <v/>
      </c>
      <c r="K13" s="3">
        <f>'_计算'!G5</f>
        <v/>
      </c>
      <c r="L13" s="3" t="inlineStr">
        <is>
          <t>未确认</t>
        </is>
      </c>
    </row>
    <row r="14" ht="30" customHeight="1">
      <c r="A14" s="3" t="n">
        <v>8</v>
      </c>
      <c r="B14" s="3" t="inlineStr">
        <is>
          <t>相控阵数字样机软件配置管理计划</t>
        </is>
      </c>
      <c r="C14" s="3" t="inlineStr">
        <is>
          <t>2026-01-06</t>
        </is>
      </c>
      <c r="D14" s="3" t="inlineStr">
        <is>
          <t>双周</t>
        </is>
      </c>
      <c r="E14" s="3" t="n"/>
      <c r="F14" s="3" t="inlineStr">
        <is>
          <t>未发现不符合项</t>
        </is>
      </c>
      <c r="G14" s="3" t="n"/>
      <c r="H14" s="3" t="n"/>
      <c r="I14" s="3" t="n"/>
      <c r="J14" s="3" t="n"/>
      <c r="K14" s="3" t="n"/>
      <c r="L14" s="3" t="inlineStr">
        <is>
          <t>未确认</t>
        </is>
      </c>
    </row>
    <row r="15" ht="18" customHeight="1">
      <c r="A15" s="3" t="n">
        <v>9</v>
      </c>
      <c r="B15" s="3" t="inlineStr">
        <is>
          <t>审核项目策划过程</t>
        </is>
      </c>
      <c r="C15" s="3" t="inlineStr">
        <is>
          <t>2026-01-08</t>
        </is>
      </c>
      <c r="D15" s="3" t="inlineStr">
        <is>
          <t>双周</t>
        </is>
      </c>
      <c r="E15" s="3" t="n"/>
      <c r="F15" s="3" t="inlineStr">
        <is>
          <t>未发现不符合项</t>
        </is>
      </c>
      <c r="G15" s="3" t="n"/>
      <c r="H15" s="3" t="n"/>
      <c r="I15" s="3" t="n"/>
      <c r="J15" s="3" t="n"/>
      <c r="K15" s="3" t="n"/>
      <c r="L15" s="3" t="inlineStr">
        <is>
          <t>未确认</t>
        </is>
      </c>
    </row>
    <row r="16" ht="30" customHeight="1">
      <c r="A16" s="3" t="n">
        <v>10</v>
      </c>
      <c r="B16" s="3">
        <f>'_计算'!B6</f>
        <v/>
      </c>
      <c r="C16" s="3" t="inlineStr">
        <is>
          <t>2026-01-12</t>
        </is>
      </c>
      <c r="D16" s="3" t="inlineStr">
        <is>
          <t>双周</t>
        </is>
      </c>
      <c r="E16" s="3">
        <f>'_计算'!D6</f>
        <v/>
      </c>
      <c r="F16" s="3">
        <f>'_计算'!E6</f>
        <v/>
      </c>
      <c r="G16" s="3" t="n"/>
      <c r="H16" s="3" t="n"/>
      <c r="I16" s="3" t="n"/>
      <c r="J16" s="3">
        <f>'_计算'!F6</f>
        <v/>
      </c>
      <c r="K16" s="3">
        <f>'_计算'!G6</f>
        <v/>
      </c>
      <c r="L16" s="3" t="inlineStr">
        <is>
          <t>未确认</t>
        </is>
      </c>
    </row>
    <row r="17" ht="30" customHeight="1">
      <c r="A17" s="3" t="n">
        <v>11</v>
      </c>
      <c r="B17" s="3">
        <f>'_计算'!B7</f>
        <v/>
      </c>
      <c r="C17" s="3" t="inlineStr">
        <is>
          <t>2026-01-12</t>
        </is>
      </c>
      <c r="D17" s="3" t="inlineStr">
        <is>
          <t>双周</t>
        </is>
      </c>
      <c r="E17" s="3">
        <f>'_计算'!D7</f>
        <v/>
      </c>
      <c r="F17" s="3">
        <f>'_计算'!E7</f>
        <v/>
      </c>
      <c r="G17" s="3" t="n"/>
      <c r="H17" s="3" t="n"/>
      <c r="I17" s="3" t="n"/>
      <c r="J17" s="3">
        <f>'_计算'!F7</f>
        <v/>
      </c>
      <c r="K17" s="3">
        <f>'_计算'!G7</f>
        <v/>
      </c>
      <c r="L17" s="3" t="inlineStr">
        <is>
          <t>未确认</t>
        </is>
      </c>
    </row>
    <row r="18" ht="30" customHeight="1">
      <c r="A18" s="3" t="n">
        <v>11</v>
      </c>
      <c r="B18" s="3">
        <f>'_计算'!B8</f>
        <v/>
      </c>
      <c r="C18" s="3" t="inlineStr">
        <is>
          <t>2026-01-12</t>
        </is>
      </c>
      <c r="D18" s="3" t="inlineStr">
        <is>
          <t>双周</t>
        </is>
      </c>
      <c r="E18" s="3">
        <f>'_计算'!D8</f>
        <v/>
      </c>
      <c r="F18" s="3">
        <f>'_计算'!E8</f>
        <v/>
      </c>
      <c r="G18" s="3" t="n"/>
      <c r="H18" s="3" t="n"/>
      <c r="I18" s="3" t="n"/>
      <c r="J18" s="3">
        <f>'_计算'!F8</f>
        <v/>
      </c>
      <c r="K18" s="3">
        <f>'_计算'!G8</f>
        <v/>
      </c>
      <c r="L18" s="3" t="inlineStr">
        <is>
          <t>未确认</t>
        </is>
      </c>
    </row>
    <row r="19">
      <c r="A19" s="7" t="inlineStr">
        <is>
          <t>节点统计</t>
        </is>
      </c>
      <c r="B19" s="7" t="n"/>
      <c r="C19" s="7" t="n"/>
      <c r="D19" s="7" t="n"/>
      <c r="E19" s="7" t="inlineStr">
        <is>
          <t>NC总数</t>
        </is>
      </c>
      <c r="F19" s="7">
        <f>COUNTIF(J9:J18,"?*")</f>
        <v/>
      </c>
      <c r="G19" s="7" t="inlineStr">
        <is>
          <t>未关闭</t>
        </is>
      </c>
      <c r="H19" s="7">
        <f>COUNTIF(K9:K18,"否")</f>
        <v/>
      </c>
      <c r="I19" s="7" t="inlineStr">
        <is>
          <t>严重</t>
        </is>
      </c>
      <c r="J19" s="7">
        <f>COUNTIF(J9:J18,"严重")</f>
        <v/>
      </c>
      <c r="K19" s="7" t="n"/>
      <c r="L19" s="7" t="n"/>
    </row>
    <row r="21">
      <c r="A21" s="6" t="inlineStr">
        <is>
          <t>阶段汇总：2026-01-23</t>
        </is>
      </c>
      <c r="B21" s="6" t="n"/>
      <c r="C21" s="6" t="n"/>
      <c r="D21" s="6" t="n"/>
      <c r="E21" s="6" t="n"/>
      <c r="F21" s="6" t="n"/>
      <c r="G21" s="6" t="n"/>
      <c r="H21" s="6" t="n"/>
      <c r="I21" s="6" t="n"/>
      <c r="J21" s="6" t="n"/>
      <c r="K21" s="6" t="n"/>
      <c r="L21" s="6" t="n"/>
    </row>
    <row r="22" ht="30" customHeight="1">
      <c r="A22" s="3" t="n">
        <v>12</v>
      </c>
      <c r="B22" s="3">
        <f>'_计算'!B9</f>
        <v/>
      </c>
      <c r="C22" s="3" t="inlineStr">
        <is>
          <t>2026-01-15</t>
        </is>
      </c>
      <c r="D22" s="3" t="inlineStr">
        <is>
          <t>阶段</t>
        </is>
      </c>
      <c r="E22" s="3">
        <f>'_计算'!D9</f>
        <v/>
      </c>
      <c r="F22" s="3">
        <f>'_计算'!E9</f>
        <v/>
      </c>
      <c r="G22" s="3" t="n"/>
      <c r="H22" s="3" t="n"/>
      <c r="I22" s="3" t="n"/>
      <c r="J22" s="3">
        <f>'_计算'!F9</f>
        <v/>
      </c>
      <c r="K22" s="3">
        <f>'_计算'!G9</f>
        <v/>
      </c>
      <c r="L22" s="3" t="inlineStr">
        <is>
          <t>未确认</t>
        </is>
      </c>
    </row>
    <row r="23" ht="30" customHeight="1">
      <c r="A23" s="3" t="n">
        <v>12</v>
      </c>
      <c r="B23" s="3">
        <f>'_计算'!B10</f>
        <v/>
      </c>
      <c r="C23" s="3" t="inlineStr">
        <is>
          <t>2026-01-15</t>
        </is>
      </c>
      <c r="D23" s="3" t="inlineStr">
        <is>
          <t>阶段</t>
        </is>
      </c>
      <c r="E23" s="3">
        <f>'_计算'!D10</f>
        <v/>
      </c>
      <c r="F23" s="3">
        <f>'_计算'!E10</f>
        <v/>
      </c>
      <c r="G23" s="3" t="n"/>
      <c r="H23" s="3" t="n"/>
      <c r="I23" s="3" t="n"/>
      <c r="J23" s="3">
        <f>'_计算'!F10</f>
        <v/>
      </c>
      <c r="K23" s="3">
        <f>'_计算'!G10</f>
        <v/>
      </c>
      <c r="L23" s="3" t="inlineStr">
        <is>
          <t>未确认</t>
        </is>
      </c>
    </row>
    <row r="24" ht="30" customHeight="1">
      <c r="A24" s="3" t="n">
        <v>13</v>
      </c>
      <c r="B24" s="3">
        <f>'_计算'!B11</f>
        <v/>
      </c>
      <c r="C24" s="3" t="inlineStr">
        <is>
          <t>2026-01-21</t>
        </is>
      </c>
      <c r="D24" s="3" t="inlineStr">
        <is>
          <t>阶段</t>
        </is>
      </c>
      <c r="E24" s="3">
        <f>'_计算'!D11</f>
        <v/>
      </c>
      <c r="F24" s="3">
        <f>'_计算'!E11</f>
        <v/>
      </c>
      <c r="G24" s="3" t="n"/>
      <c r="H24" s="3" t="n"/>
      <c r="I24" s="3" t="n"/>
      <c r="J24" s="3">
        <f>'_计算'!F11</f>
        <v/>
      </c>
      <c r="K24" s="3">
        <f>'_计算'!G11</f>
        <v/>
      </c>
      <c r="L24" s="3" t="inlineStr">
        <is>
          <t>未确认</t>
        </is>
      </c>
    </row>
    <row r="25" ht="30" customHeight="1">
      <c r="A25" s="3" t="n">
        <v>13</v>
      </c>
      <c r="B25" s="3">
        <f>'_计算'!B12</f>
        <v/>
      </c>
      <c r="C25" s="3" t="inlineStr">
        <is>
          <t>2026-01-21</t>
        </is>
      </c>
      <c r="D25" s="3" t="inlineStr">
        <is>
          <t>阶段</t>
        </is>
      </c>
      <c r="E25" s="3">
        <f>'_计算'!D12</f>
        <v/>
      </c>
      <c r="F25" s="3">
        <f>'_计算'!E12</f>
        <v/>
      </c>
      <c r="G25" s="3" t="n"/>
      <c r="H25" s="3" t="n"/>
      <c r="I25" s="3" t="n"/>
      <c r="J25" s="3">
        <f>'_计算'!F12</f>
        <v/>
      </c>
      <c r="K25" s="3">
        <f>'_计算'!G12</f>
        <v/>
      </c>
      <c r="L25" s="3" t="inlineStr">
        <is>
          <t>未确认</t>
        </is>
      </c>
    </row>
    <row r="26" ht="30" customHeight="1">
      <c r="A26" s="3" t="n">
        <v>14</v>
      </c>
      <c r="B26" s="3">
        <f>'_计算'!B13</f>
        <v/>
      </c>
      <c r="C26" s="3" t="inlineStr">
        <is>
          <t>2026-01-23</t>
        </is>
      </c>
      <c r="D26" s="3" t="inlineStr">
        <is>
          <t>阶段</t>
        </is>
      </c>
      <c r="E26" s="3">
        <f>'_计算'!D13</f>
        <v/>
      </c>
      <c r="F26" s="3">
        <f>'_计算'!E13</f>
        <v/>
      </c>
      <c r="G26" s="3" t="n"/>
      <c r="H26" s="3" t="n"/>
      <c r="I26" s="3" t="n"/>
      <c r="J26" s="3">
        <f>'_计算'!F13</f>
        <v/>
      </c>
      <c r="K26" s="3">
        <f>'_计算'!G13</f>
        <v/>
      </c>
      <c r="L26" s="3" t="inlineStr">
        <is>
          <t>未确认</t>
        </is>
      </c>
    </row>
    <row r="27" ht="30" customHeight="1">
      <c r="A27" s="3" t="n">
        <v>14</v>
      </c>
      <c r="B27" s="3">
        <f>'_计算'!B14</f>
        <v/>
      </c>
      <c r="C27" s="3" t="inlineStr">
        <is>
          <t>2026-01-23</t>
        </is>
      </c>
      <c r="D27" s="3" t="inlineStr">
        <is>
          <t>阶段</t>
        </is>
      </c>
      <c r="E27" s="3">
        <f>'_计算'!D14</f>
        <v/>
      </c>
      <c r="F27" s="3">
        <f>'_计算'!E14</f>
        <v/>
      </c>
      <c r="G27" s="3" t="n"/>
      <c r="H27" s="3" t="n"/>
      <c r="I27" s="3" t="n"/>
      <c r="J27" s="3">
        <f>'_计算'!F14</f>
        <v/>
      </c>
      <c r="K27" s="3">
        <f>'_计算'!G14</f>
        <v/>
      </c>
      <c r="L27" s="3" t="inlineStr">
        <is>
          <t>未确认</t>
        </is>
      </c>
    </row>
    <row r="28" ht="30" customHeight="1">
      <c r="A28" s="3" t="n">
        <v>15</v>
      </c>
      <c r="B28" s="3">
        <f>'_计算'!B15</f>
        <v/>
      </c>
      <c r="C28" s="3" t="inlineStr">
        <is>
          <t>2026-01-23</t>
        </is>
      </c>
      <c r="D28" s="3" t="inlineStr">
        <is>
          <t>阶段</t>
        </is>
      </c>
      <c r="E28" s="3">
        <f>'_计算'!D15</f>
        <v/>
      </c>
      <c r="F28" s="3">
        <f>'_计算'!E15</f>
        <v/>
      </c>
      <c r="G28" s="3" t="n"/>
      <c r="H28" s="3" t="n"/>
      <c r="I28" s="3" t="n"/>
      <c r="J28" s="3">
        <f>'_计算'!F15</f>
        <v/>
      </c>
      <c r="K28" s="3">
        <f>'_计算'!G15</f>
        <v/>
      </c>
      <c r="L28" s="3" t="inlineStr">
        <is>
          <t>未确认</t>
        </is>
      </c>
    </row>
    <row r="29" ht="30" customHeight="1">
      <c r="A29" s="3" t="n">
        <v>15</v>
      </c>
      <c r="B29" s="3">
        <f>'_计算'!B16</f>
        <v/>
      </c>
      <c r="C29" s="3" t="inlineStr">
        <is>
          <t>2026-01-23</t>
        </is>
      </c>
      <c r="D29" s="3" t="inlineStr">
        <is>
          <t>阶段</t>
        </is>
      </c>
      <c r="E29" s="3">
        <f>'_计算'!D16</f>
        <v/>
      </c>
      <c r="F29" s="3">
        <f>'_计算'!E16</f>
        <v/>
      </c>
      <c r="G29" s="3" t="n"/>
      <c r="H29" s="3" t="n"/>
      <c r="I29" s="3" t="n"/>
      <c r="J29" s="3">
        <f>'_计算'!F16</f>
        <v/>
      </c>
      <c r="K29" s="3">
        <f>'_计算'!G16</f>
        <v/>
      </c>
      <c r="L29" s="3" t="inlineStr">
        <is>
          <t>未确认</t>
        </is>
      </c>
    </row>
    <row r="30" ht="30" customHeight="1">
      <c r="A30" s="3" t="n">
        <v>16</v>
      </c>
      <c r="B30" s="3">
        <f>'_计算'!B17</f>
        <v/>
      </c>
      <c r="C30" s="3" t="inlineStr">
        <is>
          <t>2026-01-23</t>
        </is>
      </c>
      <c r="D30" s="3" t="inlineStr">
        <is>
          <t>阶段</t>
        </is>
      </c>
      <c r="E30" s="3">
        <f>'_计算'!D17</f>
        <v/>
      </c>
      <c r="F30" s="3">
        <f>'_计算'!E17</f>
        <v/>
      </c>
      <c r="G30" s="3" t="n"/>
      <c r="H30" s="3" t="n"/>
      <c r="I30" s="3" t="n"/>
      <c r="J30" s="3">
        <f>'_计算'!F17</f>
        <v/>
      </c>
      <c r="K30" s="3">
        <f>'_计算'!G17</f>
        <v/>
      </c>
      <c r="L30" s="3" t="inlineStr">
        <is>
          <t>未确认</t>
        </is>
      </c>
    </row>
    <row r="31" ht="30" customHeight="1">
      <c r="A31" s="3" t="n">
        <v>16</v>
      </c>
      <c r="B31" s="3">
        <f>'_计算'!B18</f>
        <v/>
      </c>
      <c r="C31" s="3" t="inlineStr">
        <is>
          <t>2026-01-23</t>
        </is>
      </c>
      <c r="D31" s="3" t="inlineStr">
        <is>
          <t>阶段</t>
        </is>
      </c>
      <c r="E31" s="3">
        <f>'_计算'!D18</f>
        <v/>
      </c>
      <c r="F31" s="3">
        <f>'_计算'!E18</f>
        <v/>
      </c>
      <c r="G31" s="3" t="n"/>
      <c r="H31" s="3" t="n"/>
      <c r="I31" s="3" t="n"/>
      <c r="J31" s="3">
        <f>'_计算'!F18</f>
        <v/>
      </c>
      <c r="K31" s="3">
        <f>'_计算'!G18</f>
        <v/>
      </c>
      <c r="L31" s="3" t="inlineStr">
        <is>
          <t>未确认</t>
        </is>
      </c>
    </row>
    <row r="32" ht="30" customHeight="1">
      <c r="A32" s="3" t="n">
        <v>17</v>
      </c>
      <c r="B32" s="3">
        <f>'_计算'!B19</f>
        <v/>
      </c>
      <c r="C32" s="3" t="inlineStr">
        <is>
          <t>2026-01-23</t>
        </is>
      </c>
      <c r="D32" s="3" t="inlineStr">
        <is>
          <t>阶段</t>
        </is>
      </c>
      <c r="E32" s="3">
        <f>'_计算'!D19</f>
        <v/>
      </c>
      <c r="F32" s="3">
        <f>'_计算'!E19</f>
        <v/>
      </c>
      <c r="G32" s="3" t="n"/>
      <c r="H32" s="3" t="n"/>
      <c r="I32" s="3" t="n"/>
      <c r="J32" s="3">
        <f>'_计算'!F19</f>
        <v/>
      </c>
      <c r="K32" s="3">
        <f>'_计算'!G19</f>
        <v/>
      </c>
      <c r="L32" s="3" t="inlineStr">
        <is>
          <t>未确认</t>
        </is>
      </c>
    </row>
    <row r="33" ht="30" customHeight="1">
      <c r="A33" s="3" t="n">
        <v>17</v>
      </c>
      <c r="B33" s="3">
        <f>'_计算'!B20</f>
        <v/>
      </c>
      <c r="C33" s="3" t="inlineStr">
        <is>
          <t>2026-01-23</t>
        </is>
      </c>
      <c r="D33" s="3" t="inlineStr">
        <is>
          <t>阶段</t>
        </is>
      </c>
      <c r="E33" s="3">
        <f>'_计算'!D20</f>
        <v/>
      </c>
      <c r="F33" s="3">
        <f>'_计算'!E20</f>
        <v/>
      </c>
      <c r="G33" s="3" t="n"/>
      <c r="H33" s="3" t="n"/>
      <c r="I33" s="3" t="n"/>
      <c r="J33" s="3">
        <f>'_计算'!F20</f>
        <v/>
      </c>
      <c r="K33" s="3">
        <f>'_计算'!G20</f>
        <v/>
      </c>
      <c r="L33" s="3" t="inlineStr">
        <is>
          <t>未确认</t>
        </is>
      </c>
    </row>
    <row r="34" ht="30" customHeight="1">
      <c r="A34" s="3" t="n">
        <v>18</v>
      </c>
      <c r="B34" s="3">
        <f>'_计算'!B21</f>
        <v/>
      </c>
      <c r="C34" s="3" t="inlineStr">
        <is>
          <t>2026-01-23</t>
        </is>
      </c>
      <c r="D34" s="3" t="inlineStr">
        <is>
          <t>阶段</t>
        </is>
      </c>
      <c r="E34" s="3">
        <f>'_计算'!D21</f>
        <v/>
      </c>
      <c r="F34" s="3">
        <f>'_计算'!E21</f>
        <v/>
      </c>
      <c r="G34" s="3" t="n"/>
      <c r="H34" s="3" t="n"/>
      <c r="I34" s="3" t="n"/>
      <c r="J34" s="3">
        <f>'_计算'!F21</f>
        <v/>
      </c>
      <c r="K34" s="3">
        <f>'_计算'!G21</f>
        <v/>
      </c>
      <c r="L34" s="3" t="inlineStr">
        <is>
          <t>未确认</t>
        </is>
      </c>
    </row>
    <row r="35">
      <c r="A35" s="7" t="inlineStr">
        <is>
          <t>节点统计</t>
        </is>
      </c>
      <c r="B35" s="7" t="n"/>
      <c r="C35" s="7" t="n"/>
      <c r="D35" s="7" t="n"/>
      <c r="E35" s="7" t="inlineStr">
        <is>
          <t>NC总数</t>
        </is>
      </c>
      <c r="F35" s="7">
        <f>COUNTIF(J22:J34,"?*")</f>
        <v/>
      </c>
      <c r="G35" s="7" t="inlineStr">
        <is>
          <t>未关闭</t>
        </is>
      </c>
      <c r="H35" s="7">
        <f>COUNTIF(K22:K34,"否")</f>
        <v/>
      </c>
      <c r="I35" s="7" t="inlineStr">
        <is>
          <t>严重</t>
        </is>
      </c>
      <c r="J35" s="7">
        <f>COUNTIF(J22:J34,"严重")</f>
        <v/>
      </c>
      <c r="K35" s="7" t="n"/>
      <c r="L35" s="7" t="n"/>
    </row>
    <row r="37">
      <c r="A37" s="8" t="inlineStr">
        <is>
          <t>阶段汇总统计</t>
        </is>
      </c>
      <c r="B37" s="2" t="n"/>
      <c r="C37" s="2" t="n"/>
      <c r="D37" s="2" t="n"/>
      <c r="E37" s="2" t="n"/>
      <c r="F37" s="2" t="n"/>
      <c r="G37" s="2" t="n"/>
      <c r="H37" s="2" t="n"/>
      <c r="I37" s="2" t="n"/>
      <c r="J37" s="2" t="n"/>
      <c r="K37" s="2" t="n"/>
      <c r="L37" s="2" t="n"/>
    </row>
    <row r="38">
      <c r="A38" s="7" t="inlineStr">
        <is>
          <t>产品NC总数</t>
        </is>
      </c>
      <c r="B38" s="7">
        <f>COUNTIF('_计算'!D2:D21,"工作产品")</f>
        <v/>
      </c>
      <c r="C38" s="7" t="inlineStr">
        <is>
          <t>过程NC总数</t>
        </is>
      </c>
      <c r="D38" s="7">
        <f>COUNTIFS('_计算'!D2:D21,"&lt;&gt;工作产品",'_计算'!D2:D21,"&lt;&gt;")</f>
        <v/>
      </c>
      <c r="E38" s="7" t="inlineStr">
        <is>
          <t>未关闭NC数</t>
        </is>
      </c>
      <c r="F38" s="7">
        <f>COUNTIF('_计算'!G2:G21,"否")</f>
        <v/>
      </c>
      <c r="G38" s="7" t="inlineStr">
        <is>
          <t>轻微</t>
        </is>
      </c>
      <c r="H38" s="7">
        <f>COUNTIF('_计算'!F2:F21,"轻微")</f>
        <v/>
      </c>
      <c r="I38" s="7" t="inlineStr">
        <is>
          <t>一般</t>
        </is>
      </c>
      <c r="J38" s="7">
        <f>COUNTIF('_计算'!F2:F21,"一般")</f>
        <v/>
      </c>
      <c r="K38" s="7" t="inlineStr">
        <is>
          <t>严重</t>
        </is>
      </c>
      <c r="L38" s="7">
        <f>COUNTIF('_计算'!F2:F21,"严重")</f>
        <v/>
      </c>
    </row>
    <row r="39">
      <c r="A39" s="4" t="inlineStr">
        <is>
          <t>RDM</t>
        </is>
      </c>
      <c r="B39" s="4" t="inlineStr">
        <is>
          <t>PP</t>
        </is>
      </c>
      <c r="C39" s="4" t="inlineStr">
        <is>
          <t>PMC</t>
        </is>
      </c>
      <c r="D39" s="4" t="inlineStr">
        <is>
          <t>CM</t>
        </is>
      </c>
      <c r="E39" s="4" t="inlineStr">
        <is>
          <t>MT</t>
        </is>
      </c>
      <c r="F39" s="4" t="inlineStr">
        <is>
          <t>MPM</t>
        </is>
      </c>
      <c r="G39" s="4" t="inlineStr">
        <is>
          <t>VV</t>
        </is>
      </c>
      <c r="H39" s="4" t="inlineStr">
        <is>
          <t>II</t>
        </is>
      </c>
      <c r="I39" s="4" t="inlineStr">
        <is>
          <t>工作产品</t>
        </is>
      </c>
      <c r="J39" s="4" t="inlineStr">
        <is>
          <t>总计</t>
        </is>
      </c>
    </row>
    <row r="40">
      <c r="A40" s="4">
        <f>COUNTIF('_计算'!D2:D21,"RDM")</f>
        <v/>
      </c>
      <c r="B40" s="4">
        <f>COUNTIF('_计算'!D2:D21,"PP")</f>
        <v/>
      </c>
      <c r="C40" s="4">
        <f>COUNTIF('_计算'!D2:D21,"PMC")</f>
        <v/>
      </c>
      <c r="D40" s="4">
        <f>COUNTIF('_计算'!D2:D21,"CM")</f>
        <v/>
      </c>
      <c r="E40" s="4">
        <f>COUNTIF('_计算'!D2:D21,"MT")</f>
        <v/>
      </c>
      <c r="F40" s="4">
        <f>COUNTIF('_计算'!D2:D21,"MPM")</f>
        <v/>
      </c>
      <c r="G40" s="4">
        <f>COUNTIF('_计算'!D2:D21,"VV")</f>
        <v/>
      </c>
      <c r="H40" s="4">
        <f>COUNTIF('_计算'!D2:D21,"II")</f>
        <v/>
      </c>
      <c r="I40" s="4">
        <f>COUNTIF('_计算'!D2:D21,"工作产品")</f>
        <v/>
      </c>
      <c r="J40" s="4">
        <f>SUM(A40:I40)</f>
        <v/>
      </c>
    </row>
  </sheetData>
  <sheetProtection selectLockedCells="0" selectUnlockedCells="0" sheet="1" objects="0" insertRows="1" insertHyperlinks="1" autoFilter="1" scenarios="0" formatColumns="1" deleteColumns="1" insertColumns="1" pivotTables="1" deleteRows="1" formatCells="1" formatRows="1" sort="1"/>
  <mergeCells count="39">
    <mergeCell ref="F13:I13"/>
    <mergeCell ref="F31:I31"/>
    <mergeCell ref="F27:I27"/>
    <mergeCell ref="F9:I9"/>
    <mergeCell ref="A35:D35"/>
    <mergeCell ref="A37:L37"/>
    <mergeCell ref="I4:L4"/>
    <mergeCell ref="A19:D19"/>
    <mergeCell ref="A21:L21"/>
    <mergeCell ref="F14:I14"/>
    <mergeCell ref="A2:L2"/>
    <mergeCell ref="C3:F3"/>
    <mergeCell ref="F11:I11"/>
    <mergeCell ref="A8:L8"/>
    <mergeCell ref="F29:I29"/>
    <mergeCell ref="F16:I16"/>
    <mergeCell ref="F25:I25"/>
    <mergeCell ref="F34:I34"/>
    <mergeCell ref="F10:I10"/>
    <mergeCell ref="A3:B3"/>
    <mergeCell ref="G3:H3"/>
    <mergeCell ref="F28:I28"/>
    <mergeCell ref="C4:F4"/>
    <mergeCell ref="F12:I12"/>
    <mergeCell ref="F24:I24"/>
    <mergeCell ref="F30:I30"/>
    <mergeCell ref="F15:I15"/>
    <mergeCell ref="F33:I33"/>
    <mergeCell ref="A4:B4"/>
    <mergeCell ref="G4:H4"/>
    <mergeCell ref="F18:I18"/>
    <mergeCell ref="F32:I32"/>
    <mergeCell ref="F26:I26"/>
    <mergeCell ref="F17:I17"/>
    <mergeCell ref="I3:L3"/>
    <mergeCell ref="A1:L1"/>
    <mergeCell ref="A6:L6"/>
    <mergeCell ref="F23:I23"/>
    <mergeCell ref="F22:I22"/>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软件开发计划检查单</t>
        </is>
      </c>
      <c r="B1" s="2" t="n"/>
      <c r="C1" s="2" t="n"/>
      <c r="D1" s="2" t="n"/>
      <c r="E1" s="2" t="n"/>
      <c r="F1" s="2" t="n"/>
      <c r="G1" s="2" t="n"/>
      <c r="H1" s="2" t="n"/>
      <c r="I1" s="2" t="n"/>
      <c r="J1" s="2" t="n"/>
      <c r="K1" s="2" t="n"/>
      <c r="L1" s="2" t="n"/>
    </row>
    <row r="2">
      <c r="A2" s="3" t="inlineStr">
        <is>
          <t>编号：ZDPX-03046/0.0-QA-检查单-005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相控阵数字样机软件开发计划</t>
        </is>
      </c>
      <c r="D4" s="3" t="n"/>
      <c r="E4" s="3" t="n"/>
      <c r="F4" s="4" t="inlineStr">
        <is>
          <t>产品标识</t>
        </is>
      </c>
      <c r="G4" s="4" t="n"/>
      <c r="H4" s="3" t="inlineStr">
        <is>
          <t>ZDPX03046/0.0-KFJH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是否完整、准确地描述本计划和其它相关项目管理计划的关系（软件配置管理计划、软件质量保证计划、测量与分析计划等）。</t>
        </is>
      </c>
      <c r="C9" s="3" t="n"/>
      <c r="D9" s="3" t="n"/>
      <c r="E9" s="3" t="n"/>
      <c r="F9" s="3" t="n"/>
      <c r="G9" s="3" t="inlineStr">
        <is>
          <t>✓</t>
        </is>
      </c>
      <c r="H9" s="3" t="n"/>
      <c r="I9" s="3" t="n"/>
      <c r="J9" s="3" t="inlineStr"/>
      <c r="K9" s="3" t="inlineStr"/>
      <c r="L9" s="3" t="n"/>
    </row>
    <row r="10" ht="18" customHeight="1">
      <c r="A10" s="3" t="inlineStr">
        <is>
          <t>3*</t>
        </is>
      </c>
      <c r="B10" s="3" t="inlineStr">
        <is>
          <t>是否描述了所选用的软件生存周期模型，且说明了选择理由？</t>
        </is>
      </c>
      <c r="C10" s="3" t="n"/>
      <c r="D10" s="3" t="n"/>
      <c r="E10" s="3" t="n"/>
      <c r="F10" s="3" t="n"/>
      <c r="G10" s="3" t="inlineStr">
        <is>
          <t>✓</t>
        </is>
      </c>
      <c r="H10" s="3" t="n"/>
      <c r="I10" s="3" t="n"/>
      <c r="J10" s="3" t="inlineStr"/>
      <c r="K10" s="3" t="inlineStr"/>
      <c r="L10" s="3" t="n"/>
    </row>
    <row r="11" ht="18" customHeight="1">
      <c r="A11" s="3" t="inlineStr">
        <is>
          <t>4</t>
        </is>
      </c>
      <c r="B11" s="3" t="inlineStr">
        <is>
          <t>是否定义了软件开发过程，并说明了裁剪对象及原因？</t>
        </is>
      </c>
      <c r="C11" s="3" t="n"/>
      <c r="D11" s="3" t="n"/>
      <c r="E11" s="3" t="n"/>
      <c r="F11" s="3" t="n"/>
      <c r="G11" s="3" t="inlineStr">
        <is>
          <t>✓</t>
        </is>
      </c>
      <c r="H11" s="3" t="n"/>
      <c r="I11" s="3" t="n"/>
      <c r="J11" s="3" t="inlineStr"/>
      <c r="K11" s="3" t="inlineStr"/>
      <c r="L11" s="3" t="n"/>
    </row>
    <row r="12" ht="18" customHeight="1">
      <c r="A12" s="3" t="inlineStr">
        <is>
          <t>5</t>
        </is>
      </c>
      <c r="B12" s="3" t="inlineStr">
        <is>
          <t>是否描述了要使用的软件开发方法且合理可行。</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是否完整、准确地描述了在软件需求分析、设计、编码、测试方面要遵循的标准且与软件研制任务书的要求一致</t>
        </is>
      </c>
      <c r="C13" s="3" t="n"/>
      <c r="D13" s="3" t="n"/>
      <c r="E13" s="3" t="n"/>
      <c r="F13" s="3" t="n"/>
      <c r="G13" s="3" t="inlineStr">
        <is>
          <t>✓</t>
        </is>
      </c>
      <c r="H13" s="3" t="n"/>
      <c r="I13" s="3" t="n"/>
      <c r="J13" s="3" t="inlineStr"/>
      <c r="K13" s="3" t="inlineStr"/>
      <c r="L13" s="3" t="n"/>
    </row>
    <row r="14" ht="18" customHeight="1">
      <c r="A14" s="3" t="inlineStr">
        <is>
          <t>7*</t>
        </is>
      </c>
      <c r="B14" s="3" t="inlineStr">
        <is>
          <t>WBS是否完整、准确地描述了软件产品结构并与软件研制任务书的要求一致。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是否准确地描述了可重用软件产品。</t>
        </is>
      </c>
      <c r="C15" s="3" t="n"/>
      <c r="D15" s="3" t="n"/>
      <c r="E15" s="3" t="n"/>
      <c r="F15" s="3" t="n"/>
      <c r="G15" s="3" t="inlineStr">
        <is>
          <t>✓</t>
        </is>
      </c>
      <c r="H15" s="3" t="n"/>
      <c r="I15" s="3" t="n"/>
      <c r="J15" s="3" t="inlineStr"/>
      <c r="K15" s="3" t="inlineStr"/>
      <c r="L15" s="3" t="n"/>
    </row>
    <row r="16" ht="18" customHeight="1">
      <c r="A16" s="3" t="inlineStr">
        <is>
          <t>9</t>
        </is>
      </c>
      <c r="B16" s="3" t="inlineStr">
        <is>
          <t>是否准确地描述了关键性需求的处理方法。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是否完整、准确地描述了验证与确认计划？</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是否完整、准确地描述了软件开发过程中里程碑点的名称、建立条件、完成时间等，且与软件研制任务书的要求一致。</t>
        </is>
      </c>
      <c r="C18" s="3" t="n"/>
      <c r="D18" s="3" t="n"/>
      <c r="E18" s="3" t="n"/>
      <c r="F18" s="3" t="n"/>
      <c r="G18" s="3" t="inlineStr">
        <is>
          <t>✓</t>
        </is>
      </c>
      <c r="H18" s="3" t="n"/>
      <c r="I18" s="3" t="n"/>
      <c r="J18" s="3" t="inlineStr"/>
      <c r="K18" s="3" t="inlineStr"/>
      <c r="L18" s="3" t="n"/>
    </row>
    <row r="19" ht="30" customHeight="1">
      <c r="A19" s="3" t="inlineStr">
        <is>
          <t>12*</t>
        </is>
      </c>
      <c r="B19" s="3" t="inlineStr">
        <is>
          <t>进度表是否完整、准确地描述了阶段名称、工作内容和要求、开始结束时间、启动准则、完成准则且与软件研制任务书的要求一致。</t>
        </is>
      </c>
      <c r="C19" s="3" t="n"/>
      <c r="D19" s="3" t="n"/>
      <c r="E19" s="3" t="n"/>
      <c r="F19" s="3" t="n"/>
      <c r="G19" s="3" t="inlineStr">
        <is>
          <t>✓</t>
        </is>
      </c>
      <c r="H19" s="3" t="n"/>
      <c r="I19" s="3" t="n"/>
      <c r="J19" s="3" t="inlineStr"/>
      <c r="K19" s="3" t="inlineStr"/>
      <c r="L19" s="3" t="n"/>
    </row>
    <row r="20" ht="18" customHeight="1">
      <c r="A20" s="3" t="inlineStr">
        <is>
          <t>13</t>
        </is>
      </c>
      <c r="B20" s="3" t="inlineStr">
        <is>
          <t>是否有活动网络图且与进度表描述的活动及其完成时间一致。</t>
        </is>
      </c>
      <c r="C20" s="3" t="n"/>
      <c r="D20" s="3" t="n"/>
      <c r="E20" s="3" t="n"/>
      <c r="F20" s="3" t="n"/>
      <c r="G20" s="3" t="inlineStr">
        <is>
          <t>✓</t>
        </is>
      </c>
      <c r="H20" s="3" t="n"/>
      <c r="I20" s="3" t="n"/>
      <c r="J20" s="3" t="inlineStr"/>
      <c r="K20" s="3" t="inlineStr"/>
      <c r="L20" s="3" t="n"/>
    </row>
    <row r="21" ht="18" customHeight="1">
      <c r="A21" s="3" t="inlineStr">
        <is>
          <t>14*</t>
        </is>
      </c>
      <c r="B21" s="3" t="inlineStr">
        <is>
          <t>活动网络图中是否合理地标识了关键路径。</t>
        </is>
      </c>
      <c r="C21" s="3" t="n"/>
      <c r="D21" s="3" t="n"/>
      <c r="E21" s="3" t="n"/>
      <c r="F21" s="3" t="n"/>
      <c r="G21" s="3" t="inlineStr">
        <is>
          <t>✓</t>
        </is>
      </c>
      <c r="H21" s="3" t="n"/>
      <c r="I21" s="3" t="n"/>
      <c r="J21" s="3" t="inlineStr"/>
      <c r="K21" s="3" t="inlineStr"/>
      <c r="L21" s="3" t="n"/>
    </row>
    <row r="22" ht="18" customHeight="1">
      <c r="A22" s="3" t="inlineStr">
        <is>
          <t>15</t>
        </is>
      </c>
      <c r="B22" s="3" t="inlineStr">
        <is>
          <t>是否进行了风险识别和分析，对风险进行了排序并制定了缓解和应对措施？</t>
        </is>
      </c>
      <c r="C22" s="3" t="n"/>
      <c r="D22" s="3" t="n"/>
      <c r="E22" s="3" t="n"/>
      <c r="F22" s="3" t="n"/>
      <c r="G22" s="3" t="inlineStr">
        <is>
          <t>✓</t>
        </is>
      </c>
      <c r="H22" s="3" t="n"/>
      <c r="I22" s="3" t="n"/>
      <c r="J22" s="3" t="inlineStr"/>
      <c r="K22" s="3" t="inlineStr"/>
      <c r="L22" s="3" t="n"/>
    </row>
    <row r="23" ht="18" customHeight="1">
      <c r="A23" s="3" t="inlineStr">
        <is>
          <t>16</t>
        </is>
      </c>
      <c r="B23" s="3" t="inlineStr">
        <is>
          <t>是否识别了项目过程资产？</t>
        </is>
      </c>
      <c r="C23" s="3" t="n"/>
      <c r="D23" s="3" t="n"/>
      <c r="E23" s="3" t="n"/>
      <c r="F23" s="3" t="n"/>
      <c r="G23" s="3" t="inlineStr">
        <is>
          <t>✓</t>
        </is>
      </c>
      <c r="H23" s="3" t="n"/>
      <c r="I23" s="3" t="n"/>
      <c r="J23" s="3" t="inlineStr"/>
      <c r="K23" s="3" t="inlineStr"/>
      <c r="L23" s="3" t="n"/>
    </row>
    <row r="24" ht="18" customHeight="1">
      <c r="A24" s="3" t="inlineStr">
        <is>
          <t>17</t>
        </is>
      </c>
      <c r="B24" s="3" t="inlineStr">
        <is>
          <t>是否对交付后的运维活动进行了策划？</t>
        </is>
      </c>
      <c r="C24" s="3" t="n"/>
      <c r="D24" s="3" t="n"/>
      <c r="E24" s="3" t="n"/>
      <c r="F24" s="3" t="n"/>
      <c r="G24" s="3" t="inlineStr">
        <is>
          <t>✓</t>
        </is>
      </c>
      <c r="H24" s="3" t="n"/>
      <c r="I24" s="3" t="n"/>
      <c r="J24" s="3" t="inlineStr"/>
      <c r="K24" s="3" t="inlineStr"/>
      <c r="L24" s="3" t="n"/>
    </row>
    <row r="25" ht="18" customHeight="1">
      <c r="A25" s="3" t="inlineStr">
        <is>
          <t>18</t>
        </is>
      </c>
      <c r="B25" s="3" t="inlineStr">
        <is>
          <t>是否完整地描述了项目所需的组织机构？人员职责是否明确？项目资源及技能需求？</t>
        </is>
      </c>
      <c r="C25" s="3" t="n"/>
      <c r="D25" s="3" t="n"/>
      <c r="E25" s="3" t="n"/>
      <c r="F25" s="3" t="n"/>
      <c r="G25" s="3" t="inlineStr">
        <is>
          <t>✓</t>
        </is>
      </c>
      <c r="H25" s="3" t="n"/>
      <c r="I25" s="3" t="n"/>
      <c r="J25" s="3" t="inlineStr"/>
      <c r="K25" s="3" t="inlineStr"/>
      <c r="L25" s="3" t="n"/>
    </row>
    <row r="26" ht="18" customHeight="1">
      <c r="A26" s="3" t="inlineStr">
        <is>
          <t>19</t>
        </is>
      </c>
      <c r="B26" s="3" t="inlineStr">
        <is>
          <t>是否完整描述了项目资源和人力技能需求，并明确了资源获取时间、培训组织方式、培训时间？</t>
        </is>
      </c>
      <c r="C26" s="3" t="n"/>
      <c r="D26" s="3" t="n"/>
      <c r="E26" s="3" t="n"/>
      <c r="F26" s="3" t="n"/>
      <c r="G26" s="3" t="inlineStr">
        <is>
          <t>✓</t>
        </is>
      </c>
      <c r="H26" s="3" t="n"/>
      <c r="I26" s="3" t="n"/>
      <c r="J26" s="3" t="inlineStr"/>
      <c r="K26" s="3" t="inlineStr"/>
      <c r="L26" s="3" t="n"/>
    </row>
    <row r="27" ht="18" customHeight="1">
      <c r="A27" s="3" t="inlineStr">
        <is>
          <t>20</t>
        </is>
      </c>
      <c r="B27" s="3" t="inlineStr">
        <is>
          <t>对利益相关方的识别是否全面？利益相关方参与的活动类型、参与时机是否明确？</t>
        </is>
      </c>
      <c r="C27" s="3" t="n"/>
      <c r="D27" s="3" t="n"/>
      <c r="E27" s="3" t="n"/>
      <c r="F27" s="3" t="n"/>
      <c r="G27" s="3" t="inlineStr">
        <is>
          <t>✓</t>
        </is>
      </c>
      <c r="H27" s="3" t="n"/>
      <c r="I27" s="3" t="n"/>
      <c r="J27" s="3" t="inlineStr"/>
      <c r="K27" s="3" t="inlineStr"/>
      <c r="L27" s="3" t="n"/>
    </row>
    <row r="28" ht="18" customHeight="1">
      <c r="A28" s="3" t="inlineStr">
        <is>
          <t>21</t>
        </is>
      </c>
      <c r="B28" s="3" t="inlineStr">
        <is>
          <t>是否完整、合理地描述了估计的依据和方法。</t>
        </is>
      </c>
      <c r="C28" s="3" t="n"/>
      <c r="D28" s="3" t="n"/>
      <c r="E28" s="3" t="n"/>
      <c r="F28" s="3" t="n"/>
      <c r="G28" s="3" t="inlineStr">
        <is>
          <t>✓</t>
        </is>
      </c>
      <c r="H28" s="3" t="n"/>
      <c r="I28" s="3" t="n"/>
      <c r="J28" s="3" t="inlineStr"/>
      <c r="K28" s="3" t="inlineStr"/>
      <c r="L28" s="3" t="n"/>
    </row>
    <row r="29" ht="18" customHeight="1">
      <c r="A29" s="3" t="inlineStr">
        <is>
          <t>22</t>
        </is>
      </c>
      <c r="B29" s="3" t="inlineStr">
        <is>
          <t>是否完整地描述了规模估计、工作量估计的假设条件。</t>
        </is>
      </c>
      <c r="C29" s="3" t="n"/>
      <c r="D29" s="3" t="n"/>
      <c r="E29" s="3" t="n"/>
      <c r="F29" s="3" t="n"/>
      <c r="G29" s="3" t="inlineStr">
        <is>
          <t>✓</t>
        </is>
      </c>
      <c r="H29" s="3" t="n"/>
      <c r="I29" s="3" t="n"/>
      <c r="J29" s="3" t="inlineStr"/>
      <c r="K29" s="3" t="inlineStr"/>
      <c r="L29" s="3" t="n"/>
    </row>
    <row r="30" ht="18" customHeight="1">
      <c r="A30" s="3" t="inlineStr">
        <is>
          <t>23</t>
        </is>
      </c>
      <c r="B30" s="3" t="inlineStr">
        <is>
          <t>是否完整地描述了规模估计、工作量估计采用的经验数据及其来源。</t>
        </is>
      </c>
      <c r="C30" s="3" t="n"/>
      <c r="D30" s="3" t="n"/>
      <c r="E30" s="3" t="n"/>
      <c r="F30" s="3" t="n"/>
      <c r="G30" s="3" t="inlineStr">
        <is>
          <t>✓</t>
        </is>
      </c>
      <c r="H30" s="3" t="n"/>
      <c r="I30" s="3" t="n"/>
      <c r="J30" s="3" t="inlineStr"/>
      <c r="K30" s="3" t="inlineStr"/>
      <c r="L30" s="3" t="n"/>
    </row>
    <row r="31" ht="18" customHeight="1">
      <c r="A31" s="3" t="inlineStr">
        <is>
          <t>24</t>
        </is>
      </c>
      <c r="B31" s="3" t="inlineStr">
        <is>
          <t>是否完整地保存了规模估计、工作量估计的过程记录。</t>
        </is>
      </c>
      <c r="C31" s="3" t="n"/>
      <c r="D31" s="3" t="n"/>
      <c r="E31" s="3" t="n"/>
      <c r="F31" s="3" t="n"/>
      <c r="G31" s="3" t="inlineStr">
        <is>
          <t>✓</t>
        </is>
      </c>
      <c r="H31" s="3" t="n"/>
      <c r="I31" s="3" t="n"/>
      <c r="J31" s="3" t="inlineStr"/>
      <c r="K31" s="3" t="inlineStr"/>
      <c r="L31" s="3" t="n"/>
    </row>
    <row r="32" ht="18" customHeight="1">
      <c r="A32" s="3" t="inlineStr">
        <is>
          <t>25</t>
        </is>
      </c>
      <c r="B32" s="3" t="inlineStr">
        <is>
          <t>是否建立起软件开发计划与软件研制任务书的追踪关系？追踪关系是否正确？</t>
        </is>
      </c>
      <c r="C32" s="3" t="n"/>
      <c r="D32" s="3" t="n"/>
      <c r="E32" s="3" t="n"/>
      <c r="F32" s="3" t="n"/>
      <c r="G32" s="3" t="inlineStr">
        <is>
          <t>✓</t>
        </is>
      </c>
      <c r="H32" s="3" t="n"/>
      <c r="I32" s="3" t="n"/>
      <c r="J32" s="3" t="inlineStr"/>
      <c r="K32" s="3" t="inlineStr"/>
      <c r="L32" s="3" t="n"/>
    </row>
    <row r="34">
      <c r="A34" s="7" t="inlineStr">
        <is>
          <t>不符合项问题明细</t>
        </is>
      </c>
      <c r="B34" s="7" t="n"/>
      <c r="C34" s="7" t="n"/>
      <c r="D34" s="7" t="n"/>
      <c r="E34" s="7" t="n"/>
      <c r="F34" s="7" t="n"/>
      <c r="G34" s="7" t="n"/>
      <c r="H34" s="7" t="n"/>
      <c r="I34" s="7" t="n"/>
      <c r="J34" s="7" t="n"/>
      <c r="K34" s="7" t="n"/>
      <c r="L34" s="7" t="n"/>
    </row>
    <row r="35">
      <c r="A35" s="4" t="inlineStr">
        <is>
          <t>问题ID</t>
        </is>
      </c>
      <c r="B35" s="4" t="inlineStr">
        <is>
          <t>检查项</t>
        </is>
      </c>
      <c r="C35" s="4" t="inlineStr">
        <is>
          <t>问题描述</t>
        </is>
      </c>
      <c r="D35" s="4" t="inlineStr"/>
      <c r="E35" s="4" t="inlineStr"/>
      <c r="F35" s="4" t="inlineStr">
        <is>
          <t>严重程度</t>
        </is>
      </c>
      <c r="G35" s="4" t="inlineStr">
        <is>
          <t>责任人</t>
        </is>
      </c>
      <c r="H35" s="4" t="inlineStr">
        <is>
          <t>提交日期</t>
        </is>
      </c>
      <c r="I35" s="4" t="inlineStr">
        <is>
          <t>计划关闭日期</t>
        </is>
      </c>
      <c r="J35" s="4" t="inlineStr">
        <is>
          <t>纠正措施</t>
        </is>
      </c>
      <c r="K35" s="4" t="inlineStr"/>
      <c r="L35" s="4" t="inlineStr">
        <is>
          <t>关闭</t>
        </is>
      </c>
    </row>
    <row r="36">
      <c r="A36" s="3" t="inlineStr">
        <is>
          <t>本次审核未发现不符合项。</t>
        </is>
      </c>
      <c r="B36" s="3" t="n"/>
      <c r="C36" s="3" t="n"/>
      <c r="D36" s="3" t="n"/>
      <c r="E36" s="3" t="n"/>
      <c r="F36" s="3" t="n"/>
      <c r="G36" s="3" t="n"/>
      <c r="H36" s="3" t="n"/>
      <c r="I36" s="3" t="n"/>
      <c r="J36" s="3" t="n"/>
      <c r="K36" s="3" t="n"/>
      <c r="L36" s="3" t="n"/>
    </row>
  </sheetData>
  <sheetProtection selectLockedCells="0" selectUnlockedCells="0" sheet="1" objects="0" insertRows="1" insertHyperlinks="1" autoFilter="1" scenarios="0" formatColumns="1" deleteColumns="1" insertColumns="1" pivotTables="1" deleteRows="1" formatCells="1" formatRows="1" sort="1"/>
  <mergeCells count="65">
    <mergeCell ref="K16:L16"/>
    <mergeCell ref="F4:G4"/>
    <mergeCell ref="K30:L30"/>
    <mergeCell ref="K25:L25"/>
    <mergeCell ref="A7:L7"/>
    <mergeCell ref="B16:F16"/>
    <mergeCell ref="K24:L24"/>
    <mergeCell ref="B25:F25"/>
    <mergeCell ref="K15:L15"/>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C3:E3"/>
    <mergeCell ref="K23:L23"/>
    <mergeCell ref="B26:F26"/>
    <mergeCell ref="K14:L14"/>
    <mergeCell ref="B9:F9"/>
    <mergeCell ref="A34:L34"/>
    <mergeCell ref="K17:L17"/>
    <mergeCell ref="H3:I3"/>
    <mergeCell ref="A4:B4"/>
    <mergeCell ref="B30:F30"/>
    <mergeCell ref="J3:K3"/>
    <mergeCell ref="B24:F24"/>
    <mergeCell ref="B20:F20"/>
    <mergeCell ref="B15:F15"/>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相控阵数字样机软件开发计划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ZDPX-03046/0.0-QA-检查单-005</t>
        </is>
      </c>
      <c r="E6" s="3" t="n"/>
      <c r="F6" s="3" t="n"/>
      <c r="G6" s="3" t="n"/>
      <c r="H6" s="3" t="n"/>
      <c r="I6" s="3" t="n"/>
      <c r="J6" s="3" t="n"/>
      <c r="K6" s="3" t="n"/>
    </row>
    <row r="7">
      <c r="B7" s="3" t="inlineStr">
        <is>
          <t>本次审核依据《软件开发计划检查单》实施。经审核，未发现不符合项。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软件测量与分析计划检查单</t>
        </is>
      </c>
      <c r="B1" s="2" t="n"/>
      <c r="C1" s="2" t="n"/>
      <c r="D1" s="2" t="n"/>
      <c r="E1" s="2" t="n"/>
      <c r="F1" s="2" t="n"/>
      <c r="G1" s="2" t="n"/>
      <c r="H1" s="2" t="n"/>
      <c r="I1" s="2" t="n"/>
      <c r="J1" s="2" t="n"/>
      <c r="K1" s="2" t="n"/>
      <c r="L1" s="2" t="n"/>
    </row>
    <row r="2">
      <c r="A2" s="3" t="inlineStr">
        <is>
          <t>编号：ZDPX-03046/0.0-QA-检查单-006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相控阵数字样机软件测量分析计划</t>
        </is>
      </c>
      <c r="D4" s="3" t="n"/>
      <c r="E4" s="3" t="n"/>
      <c r="F4" s="4" t="inlineStr">
        <is>
          <t>产品标识</t>
        </is>
      </c>
      <c r="G4" s="4" t="n"/>
      <c r="H4" s="3" t="inlineStr">
        <is>
          <t>ZDPX03046/0.0-CLJH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是否完整、准确地描述了项目测量活动的背景信息与项目特征？且与相关计划（软件开发计划、软件质量保证计划和软件配置管理计划）保持一致？</t>
        </is>
      </c>
      <c r="C9" s="3" t="n"/>
      <c r="D9" s="3" t="n"/>
      <c r="E9" s="3" t="n"/>
      <c r="F9" s="3" t="n"/>
      <c r="G9" s="3" t="inlineStr">
        <is>
          <t>✓</t>
        </is>
      </c>
      <c r="H9" s="3" t="n"/>
      <c r="I9" s="3" t="n"/>
      <c r="J9" s="3" t="inlineStr"/>
      <c r="K9" s="3" t="inlineStr"/>
      <c r="L9" s="3" t="n"/>
    </row>
    <row r="10" ht="18" customHeight="1">
      <c r="A10" s="3" t="inlineStr">
        <is>
          <t>3</t>
        </is>
      </c>
      <c r="B10" s="3" t="inlineStr">
        <is>
          <t>是否明确了参加测量分析工作的相关人员及其职责？</t>
        </is>
      </c>
      <c r="C10" s="3" t="n"/>
      <c r="D10" s="3" t="n"/>
      <c r="E10" s="3" t="n"/>
      <c r="F10" s="3" t="n"/>
      <c r="G10" s="3" t="n"/>
      <c r="H10" s="3" t="inlineStr">
        <is>
          <t>✓</t>
        </is>
      </c>
      <c r="I10" s="3" t="n"/>
      <c r="J10" s="3" t="inlineStr">
        <is>
          <t>一般</t>
        </is>
      </c>
      <c r="K10" s="3" t="inlineStr">
        <is>
          <t>必要内容覆盖不完整</t>
        </is>
      </c>
      <c r="L10" s="3" t="n"/>
    </row>
    <row r="11" ht="18" customHeight="1">
      <c r="A11" s="3" t="inlineStr">
        <is>
          <t>4</t>
        </is>
      </c>
      <c r="B11" s="3" t="inlineStr">
        <is>
          <t>项目管理目标是否明确且合理可行？</t>
        </is>
      </c>
      <c r="C11" s="3" t="n"/>
      <c r="D11" s="3" t="n"/>
      <c r="E11" s="3" t="n"/>
      <c r="F11" s="3" t="n"/>
      <c r="G11" s="3" t="inlineStr">
        <is>
          <t>✓</t>
        </is>
      </c>
      <c r="H11" s="3" t="n"/>
      <c r="I11" s="3" t="n"/>
      <c r="J11" s="3" t="inlineStr"/>
      <c r="K11" s="3" t="inlineStr"/>
      <c r="L11" s="3" t="n"/>
    </row>
    <row r="12" ht="18" customHeight="1">
      <c r="A12" s="3" t="inlineStr">
        <is>
          <t>5*</t>
        </is>
      </c>
      <c r="B12" s="3" t="inlineStr">
        <is>
          <t>与项目管理目标对应的测量目标和测量项是否描述清晰且无遗漏？</t>
        </is>
      </c>
      <c r="C12" s="3" t="n"/>
      <c r="D12" s="3" t="n"/>
      <c r="E12" s="3" t="n"/>
      <c r="F12" s="3" t="n"/>
      <c r="G12" s="3" t="n"/>
      <c r="H12" s="3" t="inlineStr">
        <is>
          <t>✓</t>
        </is>
      </c>
      <c r="I12" s="3" t="n"/>
      <c r="J12" s="3" t="inlineStr">
        <is>
          <t>严重</t>
        </is>
      </c>
      <c r="K12" s="3" t="inlineStr">
        <is>
          <t>必要内容覆盖不完整</t>
        </is>
      </c>
      <c r="L12" s="3" t="n"/>
    </row>
    <row r="13" ht="18" customHeight="1">
      <c r="A13" s="3" t="inlineStr">
        <is>
          <t>6</t>
        </is>
      </c>
      <c r="B13" s="3" t="inlineStr">
        <is>
          <t>是否明确描述了使用测量项进行项目状态分析的频率？</t>
        </is>
      </c>
      <c r="C13" s="3" t="n"/>
      <c r="D13" s="3" t="n"/>
      <c r="E13" s="3" t="n"/>
      <c r="F13" s="3" t="n"/>
      <c r="G13" s="3" t="inlineStr">
        <is>
          <t>✓</t>
        </is>
      </c>
      <c r="H13" s="3" t="n"/>
      <c r="I13" s="3" t="n"/>
      <c r="J13" s="3" t="inlineStr"/>
      <c r="K13" s="3" t="inlineStr"/>
      <c r="L13" s="3" t="n"/>
    </row>
    <row r="14" ht="30" customHeight="1">
      <c r="A14" s="3" t="inlineStr">
        <is>
          <t>7*</t>
        </is>
      </c>
      <c r="B14" s="3" t="inlineStr">
        <is>
          <t>是否标识了测量时机？且与相关计划（软件开发计划、软件质量保证计划和软件配置管理计划）的活动和阶段检查点保持一致？</t>
        </is>
      </c>
      <c r="C14" s="3" t="n"/>
      <c r="D14" s="3" t="n"/>
      <c r="E14" s="3" t="n"/>
      <c r="F14" s="3" t="n"/>
      <c r="G14" s="3" t="inlineStr">
        <is>
          <t>✓</t>
        </is>
      </c>
      <c r="H14" s="3" t="n"/>
      <c r="I14" s="3" t="n"/>
      <c r="J14" s="3" t="inlineStr"/>
      <c r="K14" s="3" t="inlineStr"/>
      <c r="L14" s="3" t="n"/>
    </row>
    <row r="15" ht="18" customHeight="1">
      <c r="A15" s="3" t="inlineStr">
        <is>
          <t>8</t>
        </is>
      </c>
      <c r="B15" s="3" t="inlineStr">
        <is>
          <t>是否标识了各测量任务的时间段、测量项、结果形式、测量负责人等必要信息？</t>
        </is>
      </c>
      <c r="C15" s="3" t="n"/>
      <c r="D15" s="3" t="n"/>
      <c r="E15" s="3" t="n"/>
      <c r="F15" s="3" t="n"/>
      <c r="G15" s="3" t="inlineStr">
        <is>
          <t>✓</t>
        </is>
      </c>
      <c r="H15" s="3" t="n"/>
      <c r="I15" s="3" t="n"/>
      <c r="J15" s="3" t="inlineStr"/>
      <c r="K15" s="3" t="inlineStr"/>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5</v>
      </c>
      <c r="B19" s="3" t="inlineStr">
        <is>
          <t>3</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6</v>
      </c>
      <c r="B20" s="3" t="inlineStr">
        <is>
          <t>5</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相控阵数字样机软件测量分析计划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ZDPX-03046/0.0-QA-检查单-006</t>
        </is>
      </c>
      <c r="E6" s="3" t="n"/>
      <c r="F6" s="3" t="n"/>
      <c r="G6" s="3" t="n"/>
      <c r="H6" s="3" t="n"/>
      <c r="I6" s="3" t="n"/>
      <c r="J6" s="3" t="n"/>
      <c r="K6" s="3" t="n"/>
    </row>
    <row r="7">
      <c r="B7" s="3" t="inlineStr">
        <is>
          <t>本次审核依据《软件测量与分析计划检查单》实施。经审核，发现2个不符合项。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'C006-相控阵数字样机软件测量分析计划'!C19</f>
        <v/>
      </c>
      <c r="D13" s="3" t="n"/>
      <c r="E13" s="3" t="n"/>
      <c r="F13" s="3">
        <f>'C006-相控阵数字样机软件测量分析计划'!F19</f>
        <v/>
      </c>
      <c r="G13" s="3">
        <f>'C006-相控阵数字样机软件测量分析计划'!G19</f>
        <v/>
      </c>
      <c r="H13" s="3">
        <f>'C006-相控阵数字样机软件测量分析计划'!H19</f>
        <v/>
      </c>
      <c r="I13" s="3">
        <f>'C006-相控阵数字样机软件测量分析计划'!I19</f>
        <v/>
      </c>
      <c r="J13" s="3">
        <f>'C006-相控阵数字样机软件测量分析计划'!J19</f>
        <v/>
      </c>
      <c r="K13" s="3" t="n"/>
    </row>
    <row r="14" ht="30" customHeight="1">
      <c r="B14" s="3" t="n">
        <v>2</v>
      </c>
      <c r="C14" s="3">
        <f>'C006-相控阵数字样机软件测量分析计划'!C20</f>
        <v/>
      </c>
      <c r="D14" s="3" t="n"/>
      <c r="E14" s="3" t="n"/>
      <c r="F14" s="3">
        <f>'C006-相控阵数字样机软件测量分析计划'!F20</f>
        <v/>
      </c>
      <c r="G14" s="3">
        <f>'C006-相控阵数字样机软件测量分析计划'!G20</f>
        <v/>
      </c>
      <c r="H14" s="3">
        <f>'C006-相控阵数字样机软件测量分析计划'!H20</f>
        <v/>
      </c>
      <c r="I14" s="3">
        <f>'C006-相控阵数字样机软件测量分析计划'!I20</f>
        <v/>
      </c>
      <c r="J14" s="3">
        <f>'C006-相控阵数字样机软件测量分析计划'!J20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软件质量保证计划检查单</t>
        </is>
      </c>
      <c r="B1" s="2" t="n"/>
      <c r="C1" s="2" t="n"/>
      <c r="D1" s="2" t="n"/>
      <c r="E1" s="2" t="n"/>
      <c r="F1" s="2" t="n"/>
      <c r="G1" s="2" t="n"/>
      <c r="H1" s="2" t="n"/>
      <c r="I1" s="2" t="n"/>
      <c r="J1" s="2" t="n"/>
      <c r="K1" s="2" t="n"/>
      <c r="L1" s="2" t="n"/>
    </row>
    <row r="2">
      <c r="A2" s="3" t="inlineStr">
        <is>
          <t>编号：ZDPX-03046/0.0-QA-检查单-007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相控阵数字样机软件质量保证计划</t>
        </is>
      </c>
      <c r="D4" s="3" t="n"/>
      <c r="E4" s="3" t="n"/>
      <c r="F4" s="4" t="inlineStr">
        <is>
          <t>产品标识</t>
        </is>
      </c>
      <c r="G4" s="4" t="n"/>
      <c r="H4" s="3" t="inlineStr">
        <is>
          <t>ZDPX03046/0.0-ZBJH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格式与排版是否与模板要求一致。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是否完整、准确地描述了项目软件开发过程中所应遵循的各种技术性和管理性标准和规范。</t>
        </is>
      </c>
      <c r="C9" s="3" t="n"/>
      <c r="D9" s="3" t="n"/>
      <c r="E9" s="3" t="n"/>
      <c r="F9" s="3" t="n"/>
      <c r="G9" s="3" t="inlineStr">
        <is>
          <t>✓</t>
        </is>
      </c>
      <c r="H9" s="3" t="n"/>
      <c r="I9" s="3" t="n"/>
      <c r="J9" s="3" t="inlineStr"/>
      <c r="K9" s="3" t="inlineStr"/>
      <c r="L9" s="3" t="n"/>
    </row>
    <row r="10" ht="18" customHeight="1">
      <c r="A10" s="3" t="inlineStr">
        <is>
          <t>3</t>
        </is>
      </c>
      <c r="B10" s="3" t="inlineStr">
        <is>
          <t>是否正确地描述了软件质量保证人员及相关配合人员的职责和权限。</t>
        </is>
      </c>
      <c r="C10" s="3" t="n"/>
      <c r="D10" s="3" t="n"/>
      <c r="E10" s="3" t="n"/>
      <c r="F10" s="3" t="n"/>
      <c r="G10" s="3" t="inlineStr">
        <is>
          <t>✓</t>
        </is>
      </c>
      <c r="H10" s="3" t="n"/>
      <c r="I10" s="3" t="n"/>
      <c r="J10" s="3" t="inlineStr"/>
      <c r="K10" s="3" t="inlineStr"/>
      <c r="L10" s="3" t="n"/>
    </row>
    <row r="11" ht="18" customHeight="1">
      <c r="A11" s="3" t="inlineStr">
        <is>
          <t>4</t>
        </is>
      </c>
      <c r="B11" s="3" t="inlineStr">
        <is>
          <t>是否完整、准确地描述了实施软件质量保证任务所需的工具、设施且与软件开发计划一致。</t>
        </is>
      </c>
      <c r="C11" s="3" t="n"/>
      <c r="D11" s="3" t="n"/>
      <c r="E11" s="3" t="n"/>
      <c r="F11" s="3" t="n"/>
      <c r="G11" s="3" t="inlineStr">
        <is>
          <t>✓</t>
        </is>
      </c>
      <c r="H11" s="3" t="n"/>
      <c r="I11" s="3" t="n"/>
      <c r="J11" s="3" t="inlineStr"/>
      <c r="K11" s="3" t="inlineStr"/>
      <c r="L11" s="3" t="n"/>
    </row>
    <row r="12" ht="30" customHeight="1">
      <c r="A12" s="3" t="inlineStr">
        <is>
          <t>5*</t>
        </is>
      </c>
      <c r="B12" s="3" t="inlineStr">
        <is>
          <t>是否完整、准确地列出了本项目软件开发生存周期模型定义的各阶段中过程审核的活动内容、审核依据、审核时机、审核形式且与软件开发计划一致。</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是否完整、准确地列出了本项目软件开发生存周期模型定义的各阶段中产品审核的内容、审核依据、审核时机、审核形式且与软件开发计划一致。</t>
        </is>
      </c>
      <c r="C13" s="3" t="n"/>
      <c r="D13" s="3" t="n"/>
      <c r="E13" s="3" t="n"/>
      <c r="F13" s="3" t="n"/>
      <c r="G13" s="3" t="n"/>
      <c r="H13" s="3" t="inlineStr">
        <is>
          <t>✓</t>
        </is>
      </c>
      <c r="I13" s="3" t="n"/>
      <c r="J13" s="3" t="inlineStr">
        <is>
          <t>严重</t>
        </is>
      </c>
      <c r="K13" s="3" t="inlineStr">
        <is>
          <t>必要内容覆盖不完整</t>
        </is>
      </c>
      <c r="L13" s="3" t="n"/>
    </row>
    <row r="14" ht="18" customHeight="1">
      <c r="A14" s="3" t="inlineStr">
        <is>
          <t>7</t>
        </is>
      </c>
      <c r="B14" s="3" t="inlineStr">
        <is>
          <t>是否完整、准确地说明了软件质量保证情况报告的内容、频度和时机。</t>
        </is>
      </c>
      <c r="C14" s="3" t="n"/>
      <c r="D14" s="3" t="n"/>
      <c r="E14" s="3" t="n"/>
      <c r="F14" s="3" t="n"/>
      <c r="G14" s="3" t="inlineStr">
        <is>
          <t>✓</t>
        </is>
      </c>
      <c r="H14" s="3" t="n"/>
      <c r="I14" s="3" t="n"/>
      <c r="J14" s="3" t="inlineStr"/>
      <c r="K14" s="3" t="inlineStr"/>
      <c r="L14" s="3" t="n"/>
    </row>
    <row r="15" ht="30" customHeight="1">
      <c r="A15" s="3" t="inlineStr">
        <is>
          <t>8</t>
        </is>
      </c>
      <c r="B15" s="3" t="inlineStr">
        <is>
          <t>是否正确地对软件过程组定义的过程检查单和产品检查单进行了裁剪，且说明了检查单或检查项不适用的原因。</t>
        </is>
      </c>
      <c r="C15" s="3" t="n"/>
      <c r="D15" s="3" t="n"/>
      <c r="E15" s="3" t="n"/>
      <c r="F15" s="3" t="n"/>
      <c r="G15" s="3" t="n"/>
      <c r="H15" s="3" t="inlineStr">
        <is>
          <t>✓</t>
        </is>
      </c>
      <c r="I15" s="3" t="n"/>
      <c r="J15" s="3" t="inlineStr">
        <is>
          <t>一般</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7</v>
      </c>
      <c r="B19" s="3" t="inlineStr">
        <is>
          <t>6</t>
        </is>
      </c>
      <c r="C19" s="3" t="inlineStr">
        <is>
          <t>相关工作产品未完整覆盖本检查项要求的必要内容和适用场景，当前结果不能支撑该项要求已经全部落实。</t>
        </is>
      </c>
      <c r="D19" s="3" t="n"/>
      <c r="E19" s="3" t="n"/>
      <c r="F19" s="3" t="inlineStr">
        <is>
          <t>严重</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8</v>
      </c>
      <c r="B20" s="3" t="inlineStr">
        <is>
          <t>8</t>
        </is>
      </c>
      <c r="C20" s="3" t="inlineStr">
        <is>
          <t>相关工作产品未完整覆盖本检查项要求的必要内容和适用场景，当前结果不能支撑该项要求已经全部落实。</t>
        </is>
      </c>
      <c r="D20" s="3" t="n"/>
      <c r="E20" s="3" t="n"/>
      <c r="F20" s="3" t="inlineStr">
        <is>
          <t>一般</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相控阵数字样机软件质量保证计划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ZDPX-03046/0.0-QA-检查单-007</t>
        </is>
      </c>
      <c r="E6" s="3" t="n"/>
      <c r="F6" s="3" t="n"/>
      <c r="G6" s="3" t="n"/>
      <c r="H6" s="3" t="n"/>
      <c r="I6" s="3" t="n"/>
      <c r="J6" s="3" t="n"/>
      <c r="K6" s="3" t="n"/>
    </row>
    <row r="7">
      <c r="B7" s="3" t="inlineStr">
        <is>
          <t>本次审核依据《软件质量保证计划检查单》实施。经审核，发现2个不符合项。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'C007-相控阵数字样机软件质量保证计划'!C19</f>
        <v/>
      </c>
      <c r="D13" s="3" t="n"/>
      <c r="E13" s="3" t="n"/>
      <c r="F13" s="3">
        <f>'C007-相控阵数字样机软件质量保证计划'!F19</f>
        <v/>
      </c>
      <c r="G13" s="3">
        <f>'C007-相控阵数字样机软件质量保证计划'!G19</f>
        <v/>
      </c>
      <c r="H13" s="3">
        <f>'C007-相控阵数字样机软件质量保证计划'!H19</f>
        <v/>
      </c>
      <c r="I13" s="3">
        <f>'C007-相控阵数字样机软件质量保证计划'!I19</f>
        <v/>
      </c>
      <c r="J13" s="3">
        <f>'C007-相控阵数字样机软件质量保证计划'!J19</f>
        <v/>
      </c>
      <c r="K13" s="3" t="n"/>
    </row>
    <row r="14" ht="30" customHeight="1">
      <c r="B14" s="3" t="n">
        <v>2</v>
      </c>
      <c r="C14" s="3">
        <f>'C007-相控阵数字样机软件质量保证计划'!C20</f>
        <v/>
      </c>
      <c r="D14" s="3" t="n"/>
      <c r="E14" s="3" t="n"/>
      <c r="F14" s="3">
        <f>'C007-相控阵数字样机软件质量保证计划'!F20</f>
        <v/>
      </c>
      <c r="G14" s="3">
        <f>'C007-相控阵数字样机软件质量保证计划'!G20</f>
        <v/>
      </c>
      <c r="H14" s="3">
        <f>'C007-相控阵数字样机软件质量保证计划'!H20</f>
        <v/>
      </c>
      <c r="I14" s="3">
        <f>'C007-相控阵数字样机软件质量保证计划'!I20</f>
        <v/>
      </c>
      <c r="J14" s="3">
        <f>'C007-相控阵数字样机软件质量保证计划'!J20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软件配置管理计划检查单</t>
        </is>
      </c>
      <c r="B1" s="2" t="n"/>
      <c r="C1" s="2" t="n"/>
      <c r="D1" s="2" t="n"/>
      <c r="E1" s="2" t="n"/>
      <c r="F1" s="2" t="n"/>
      <c r="G1" s="2" t="n"/>
      <c r="H1" s="2" t="n"/>
      <c r="I1" s="2" t="n"/>
      <c r="J1" s="2" t="n"/>
      <c r="K1" s="2" t="n"/>
      <c r="L1" s="2" t="n"/>
    </row>
    <row r="2">
      <c r="A2" s="3" t="inlineStr">
        <is>
          <t>编号：ZDPX-03046/0.0-QA-检查单-008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相控阵数字样机软件配置管理计划</t>
        </is>
      </c>
      <c r="D4" s="3" t="n"/>
      <c r="E4" s="3" t="n"/>
      <c r="F4" s="4" t="inlineStr">
        <is>
          <t>产品标识</t>
        </is>
      </c>
      <c r="G4" s="4" t="n"/>
      <c r="H4" s="3" t="inlineStr">
        <is>
          <t>ZDPX03046/0.0-PGJH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是否完整、正确地定义了配置管理组织结构</t>
        </is>
      </c>
      <c r="C9" s="3" t="n"/>
      <c r="D9" s="3" t="n"/>
      <c r="E9" s="3" t="n"/>
      <c r="F9" s="3" t="n"/>
      <c r="G9" s="3" t="inlineStr">
        <is>
          <t>✓</t>
        </is>
      </c>
      <c r="H9" s="3" t="n"/>
      <c r="I9" s="3" t="n"/>
      <c r="J9" s="3" t="inlineStr"/>
      <c r="K9" s="3" t="inlineStr"/>
      <c r="L9" s="3" t="n"/>
    </row>
    <row r="10" ht="30" customHeight="1">
      <c r="A10" s="3" t="inlineStr">
        <is>
          <t>3</t>
        </is>
      </c>
      <c r="B10" s="3" t="inlineStr">
        <is>
          <t>是否完整、准确地定义了配置管理环境（包括使用工具，配置项存放位置）且与软件开发计划一致。</t>
        </is>
      </c>
      <c r="C10" s="3" t="n"/>
      <c r="D10" s="3" t="n"/>
      <c r="E10" s="3" t="n"/>
      <c r="F10" s="3" t="n"/>
      <c r="G10" s="3" t="inlineStr">
        <is>
          <t>✓</t>
        </is>
      </c>
      <c r="H10" s="3" t="n"/>
      <c r="I10" s="3" t="n"/>
      <c r="J10" s="3" t="inlineStr"/>
      <c r="K10" s="3" t="inlineStr"/>
      <c r="L10" s="3" t="n"/>
    </row>
    <row r="11" ht="30" customHeight="1">
      <c r="A11" s="3" t="inlineStr">
        <is>
          <t>4*</t>
        </is>
      </c>
      <c r="B11" s="3" t="inlineStr">
        <is>
          <t>是否完整、准确地描述了基线、独立配置项、环境配置项形成的时间点、名称、标识、受控时机。</t>
        </is>
      </c>
      <c r="C11" s="3" t="n"/>
      <c r="D11" s="3" t="n"/>
      <c r="E11" s="3" t="n"/>
      <c r="F11" s="3" t="n"/>
      <c r="G11" s="3" t="inlineStr">
        <is>
          <t>✓</t>
        </is>
      </c>
      <c r="H11" s="3" t="n"/>
      <c r="I11" s="3" t="n"/>
      <c r="J11" s="3" t="inlineStr"/>
      <c r="K11" s="3" t="inlineStr"/>
      <c r="L11" s="3" t="n"/>
    </row>
    <row r="12" ht="18" customHeight="1">
      <c r="A12" s="3" t="inlineStr">
        <is>
          <t>5*</t>
        </is>
      </c>
      <c r="B12" s="3" t="inlineStr">
        <is>
          <t>描述的软件工作产品是否与软件开发计划一致。</t>
        </is>
      </c>
      <c r="C12" s="3" t="n"/>
      <c r="D12" s="3" t="n"/>
      <c r="E12" s="3" t="n"/>
      <c r="F12" s="3" t="n"/>
      <c r="G12" s="3" t="inlineStr">
        <is>
          <t>✓</t>
        </is>
      </c>
      <c r="H12" s="3" t="n"/>
      <c r="I12" s="3" t="n"/>
      <c r="J12" s="3" t="inlineStr"/>
      <c r="K12" s="3" t="inlineStr"/>
      <c r="L12" s="3" t="n"/>
    </row>
    <row r="13" ht="18" customHeight="1">
      <c r="A13" s="3" t="inlineStr">
        <is>
          <t>6</t>
        </is>
      </c>
      <c r="B13" s="3" t="inlineStr">
        <is>
          <t>是否正确地描述了变更控制的方法。</t>
        </is>
      </c>
      <c r="C13" s="3" t="n"/>
      <c r="D13" s="3" t="n"/>
      <c r="E13" s="3" t="n"/>
      <c r="F13" s="3" t="n"/>
      <c r="G13" s="3" t="inlineStr">
        <is>
          <t>✓</t>
        </is>
      </c>
      <c r="H13" s="3" t="n"/>
      <c r="I13" s="3" t="n"/>
      <c r="J13" s="3" t="inlineStr"/>
      <c r="K13" s="3" t="inlineStr"/>
      <c r="L13" s="3" t="n"/>
    </row>
    <row r="14" ht="18" customHeight="1">
      <c r="A14" s="3" t="inlineStr">
        <is>
          <t>7</t>
        </is>
      </c>
      <c r="B14" s="3" t="inlineStr">
        <is>
          <t>是否准确地说明了配置状态记实和配置管理报告的时机且与软件开发计划一致。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是否准确地说明了配置审核的时机和内容且与软件开发计划一致。</t>
        </is>
      </c>
      <c r="C15" s="3" t="n"/>
      <c r="D15" s="3" t="n"/>
      <c r="E15" s="3" t="n"/>
      <c r="F15" s="3" t="n"/>
      <c r="G15" s="3" t="inlineStr">
        <is>
          <t>✓</t>
        </is>
      </c>
      <c r="H15" s="3" t="n"/>
      <c r="I15" s="3" t="n"/>
      <c r="J15" s="3" t="inlineStr"/>
      <c r="K15" s="3" t="inlineStr"/>
      <c r="L15" s="3" t="n"/>
    </row>
    <row r="16" ht="18" customHeight="1">
      <c r="A16" s="3" t="inlineStr">
        <is>
          <t>9</t>
        </is>
      </c>
      <c r="B16" s="3" t="inlineStr">
        <is>
          <t>是否准确地说明了配置库备份的时机和方式。</t>
        </is>
      </c>
      <c r="C16" s="3" t="n"/>
      <c r="D16" s="3" t="n"/>
      <c r="E16" s="3" t="n"/>
      <c r="F16" s="3" t="n"/>
      <c r="G16" s="3" t="inlineStr">
        <is>
          <t>✓</t>
        </is>
      </c>
      <c r="H16" s="3" t="n"/>
      <c r="I16" s="3" t="n"/>
      <c r="J16" s="3" t="inlineStr"/>
      <c r="K16" s="3" t="inlineStr"/>
      <c r="L16" s="3" t="n"/>
    </row>
    <row r="18">
      <c r="A18" s="7" t="inlineStr">
        <is>
          <t>不符合项问题明细</t>
        </is>
      </c>
      <c r="B18" s="7" t="n"/>
      <c r="C18" s="7" t="n"/>
      <c r="D18" s="7" t="n"/>
      <c r="E18" s="7" t="n"/>
      <c r="F18" s="7" t="n"/>
      <c r="G18" s="7" t="n"/>
      <c r="H18" s="7" t="n"/>
      <c r="I18" s="7" t="n"/>
      <c r="J18" s="7" t="n"/>
      <c r="K18" s="7" t="n"/>
      <c r="L18" s="7" t="n"/>
    </row>
    <row r="19">
      <c r="A19" s="4" t="inlineStr">
        <is>
          <t>问题ID</t>
        </is>
      </c>
      <c r="B19" s="4" t="inlineStr">
        <is>
          <t>检查项</t>
        </is>
      </c>
      <c r="C19" s="4" t="inlineStr">
        <is>
          <t>问题描述</t>
        </is>
      </c>
      <c r="D19" s="4" t="inlineStr"/>
      <c r="E19" s="4" t="inlineStr"/>
      <c r="F19" s="4" t="inlineStr">
        <is>
          <t>严重程度</t>
        </is>
      </c>
      <c r="G19" s="4" t="inlineStr">
        <is>
          <t>责任人</t>
        </is>
      </c>
      <c r="H19" s="4" t="inlineStr">
        <is>
          <t>提交日期</t>
        </is>
      </c>
      <c r="I19" s="4" t="inlineStr">
        <is>
          <t>计划关闭日期</t>
        </is>
      </c>
      <c r="J19" s="4" t="inlineStr">
        <is>
          <t>纠正措施</t>
        </is>
      </c>
      <c r="K19" s="4" t="inlineStr"/>
      <c r="L19" s="4" t="inlineStr">
        <is>
          <t>关闭</t>
        </is>
      </c>
    </row>
    <row r="20">
      <c r="A20" s="3" t="inlineStr">
        <is>
          <t>本次审核未发现不符合项。</t>
        </is>
      </c>
      <c r="B20" s="3" t="n"/>
      <c r="C20" s="3" t="n"/>
      <c r="D20" s="3" t="n"/>
      <c r="E20" s="3" t="n"/>
      <c r="F20" s="3" t="n"/>
      <c r="G20" s="3" t="n"/>
      <c r="H20" s="3" t="n"/>
      <c r="I20" s="3" t="n"/>
      <c r="J20" s="3" t="n"/>
      <c r="K20" s="3" t="n"/>
      <c r="L20" s="3" t="n"/>
    </row>
  </sheetData>
  <sheetProtection selectLockedCells="0" selectUnlockedCells="0" sheet="1" objects="0" insertRows="1" insertHyperlinks="1" autoFilter="1" scenarios="0" formatColumns="1" deleteColumns="1" insertColumns="1" pivotTables="1" deleteRows="1" formatCells="1" formatRows="1" sort="1"/>
  <mergeCells count="33">
    <mergeCell ref="K16:L16"/>
    <mergeCell ref="F4:G4"/>
    <mergeCell ref="A7:L7"/>
    <mergeCell ref="B16:F16"/>
    <mergeCell ref="K15:L15"/>
    <mergeCell ref="K9:L9"/>
    <mergeCell ref="H4:I4"/>
    <mergeCell ref="A18:L18"/>
    <mergeCell ref="F3:G3"/>
    <mergeCell ref="A2:L2"/>
    <mergeCell ref="B12:F12"/>
    <mergeCell ref="K11:L11"/>
    <mergeCell ref="B11:F11"/>
    <mergeCell ref="B8:F8"/>
    <mergeCell ref="B14:F14"/>
    <mergeCell ref="A3:B3"/>
    <mergeCell ref="B13:F13"/>
    <mergeCell ref="A20:L20"/>
    <mergeCell ref="J4:K4"/>
    <mergeCell ref="K12:L12"/>
    <mergeCell ref="K8:L8"/>
    <mergeCell ref="B10:F10"/>
    <mergeCell ref="C3:E3"/>
    <mergeCell ref="K14:L14"/>
    <mergeCell ref="B9:F9"/>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相控阵数字样机软件配置管理计划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ZDPX-03046/0.0-QA-检查单-008</t>
        </is>
      </c>
      <c r="E6" s="3" t="n"/>
      <c r="F6" s="3" t="n"/>
      <c r="G6" s="3" t="n"/>
      <c r="H6" s="3" t="n"/>
      <c r="I6" s="3" t="n"/>
      <c r="J6" s="3" t="n"/>
      <c r="K6" s="3" t="n"/>
    </row>
    <row r="7">
      <c r="B7" s="3" t="inlineStr">
        <is>
          <t>本次审核依据《软件配置管理计划检查单》实施。经审核，未发现不符合项。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编号：ZDPX-03046/0.0-QA-检查单-009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2026-01-08</t>
        </is>
      </c>
      <c r="I5" s="3" t="n"/>
      <c r="J5" s="3" t="n"/>
      <c r="K5" s="3" t="n"/>
    </row>
    <row r="6">
      <c r="B6" s="4" t="inlineStr">
        <is>
          <t>审核依据</t>
        </is>
      </c>
      <c r="C6" s="4" t="n"/>
      <c r="D6" s="3" t="inlineStr">
        <is>
          <t>ZDPX-03046/0.0-QA-检查单-009</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n"/>
      <c r="H26" s="3" t="inlineStr">
        <is>
          <t>✓</t>
        </is>
      </c>
      <c r="I26" s="3" t="n"/>
      <c r="J26" s="3" t="inlineStr">
        <is>
          <t>严重</t>
        </is>
      </c>
      <c r="K26" s="3" t="inlineStr">
        <is>
          <t>必要内容覆盖不完整</t>
        </is>
      </c>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9</v>
      </c>
      <c r="B45" s="3" t="inlineStr">
        <is>
          <t>19</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2026-01-12</t>
        </is>
      </c>
      <c r="I45" s="3" t="inlineStr">
        <is>
          <t>2026-01-12</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ZDPX-03046/0.0-QA-检查单-010</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'C010-审核项目监控过程-双周'!C45</f>
        <v/>
      </c>
      <c r="D13" s="3" t="n"/>
      <c r="E13" s="3" t="n"/>
      <c r="F13" s="3">
        <f>'C010-审核项目监控过程-双周'!F45</f>
        <v/>
      </c>
      <c r="G13" s="3">
        <f>'C010-审核项目监控过程-双周'!G45</f>
        <v/>
      </c>
      <c r="H13" s="3">
        <f>'C010-审核项目监控过程-双周'!H45</f>
        <v/>
      </c>
      <c r="I13" s="3">
        <f>'C010-审核项目监控过程-双周'!I45</f>
        <v/>
      </c>
      <c r="J13" s="3">
        <f>'C010-审核项目监控过程-双周'!J45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n"/>
      <c r="H8" s="3" t="inlineStr">
        <is>
          <t>✓</t>
        </is>
      </c>
      <c r="I8" s="3" t="n"/>
      <c r="J8" s="3" t="inlineStr">
        <is>
          <t>严重</t>
        </is>
      </c>
      <c r="K8" s="3" t="inlineStr">
        <is>
          <t>必要内容覆盖不完整</t>
        </is>
      </c>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n"/>
      <c r="H11" s="3" t="inlineStr">
        <is>
          <t>✓</t>
        </is>
      </c>
      <c r="I11" s="3" t="n"/>
      <c r="J11" s="3" t="inlineStr">
        <is>
          <t>一般</t>
        </is>
      </c>
      <c r="K11" s="3" t="inlineStr">
        <is>
          <t>必要内容覆盖不完整</t>
        </is>
      </c>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10</v>
      </c>
      <c r="B26" s="3" t="inlineStr">
        <is>
          <t>1</t>
        </is>
      </c>
      <c r="C26" s="3" t="inlineStr">
        <is>
          <t>相关工作产品未完整覆盖本检查项要求的必要内容和适用场景，当前结果不能支撑该项要求已经全部落实。</t>
        </is>
      </c>
      <c r="D26" s="3" t="n"/>
      <c r="E26" s="3" t="n"/>
      <c r="F26" s="3" t="inlineStr">
        <is>
          <t>严重</t>
        </is>
      </c>
      <c r="G26" s="3" t="inlineStr">
        <is>
          <t>赵要浦</t>
        </is>
      </c>
      <c r="H26" s="3" t="inlineStr">
        <is>
          <t>2026-01-12</t>
        </is>
      </c>
      <c r="I26" s="3" t="inlineStr">
        <is>
          <t>2026-01-12</t>
        </is>
      </c>
      <c r="J26" s="3" t="inlineStr">
        <is>
          <t>补齐遗漏内容和适用场景，核对相关输入后组织复核，并保留复核结论。</t>
        </is>
      </c>
      <c r="K26" s="3" t="n"/>
      <c r="L26" s="3" t="inlineStr">
        <is>
          <t>否</t>
        </is>
      </c>
    </row>
    <row r="27" ht="30" customHeight="1">
      <c r="A27" s="3" t="n">
        <v>11</v>
      </c>
      <c r="B27" s="3" t="inlineStr">
        <is>
          <t>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2026-01-12</t>
        </is>
      </c>
      <c r="I27" s="3" t="inlineStr">
        <is>
          <t>2026-01-12</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ZDPX-03046/0.0-QA-检查单-011</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'C011-审核测量与绩效管理过程-双周'!C26</f>
        <v/>
      </c>
      <c r="D13" s="3" t="n"/>
      <c r="E13" s="3" t="n"/>
      <c r="F13" s="3">
        <f>'C011-审核测量与绩效管理过程-双周'!F26</f>
        <v/>
      </c>
      <c r="G13" s="3">
        <f>'C011-审核测量与绩效管理过程-双周'!G26</f>
        <v/>
      </c>
      <c r="H13" s="3">
        <f>'C011-审核测量与绩效管理过程-双周'!H26</f>
        <v/>
      </c>
      <c r="I13" s="3">
        <f>'C011-审核测量与绩效管理过程-双周'!I26</f>
        <v/>
      </c>
      <c r="J13" s="3">
        <f>'C011-审核测量与绩效管理过程-双周'!J26</f>
        <v/>
      </c>
      <c r="K13" s="3" t="n"/>
    </row>
    <row r="14" ht="30" customHeight="1">
      <c r="B14" s="3" t="n">
        <v>2</v>
      </c>
      <c r="C14" s="3">
        <f>'C011-审核测量与绩效管理过程-双周'!C27</f>
        <v/>
      </c>
      <c r="D14" s="3" t="n"/>
      <c r="E14" s="3" t="n"/>
      <c r="F14" s="3">
        <f>'C011-审核测量与绩效管理过程-双周'!F27</f>
        <v/>
      </c>
      <c r="G14" s="3">
        <f>'C011-审核测量与绩效管理过程-双周'!G27</f>
        <v/>
      </c>
      <c r="H14" s="3">
        <f>'C011-审核测量与绩效管理过程-双周'!H27</f>
        <v/>
      </c>
      <c r="I14" s="3">
        <f>'C011-审核测量与绩效管理过程-双周'!I27</f>
        <v/>
      </c>
      <c r="J14" s="3">
        <f>'C011-审核测量与绩效管理过程-双周'!J27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软件需求规格说明检查单</t>
        </is>
      </c>
      <c r="B1" s="2" t="n"/>
      <c r="C1" s="2" t="n"/>
      <c r="D1" s="2" t="n"/>
      <c r="E1" s="2" t="n"/>
      <c r="F1" s="2" t="n"/>
      <c r="G1" s="2" t="n"/>
      <c r="H1" s="2" t="n"/>
      <c r="I1" s="2" t="n"/>
      <c r="J1" s="2" t="n"/>
      <c r="K1" s="2" t="n"/>
      <c r="L1" s="2" t="n"/>
    </row>
    <row r="2">
      <c r="A2" s="3" t="inlineStr">
        <is>
          <t>编号：ZDPX-03046/0.0-QA-检查单-012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相控阵数字样机软件需求规格说明</t>
        </is>
      </c>
      <c r="D4" s="3" t="n"/>
      <c r="E4" s="3" t="n"/>
      <c r="F4" s="4" t="inlineStr">
        <is>
          <t>产品标识</t>
        </is>
      </c>
      <c r="G4" s="4" t="n"/>
      <c r="H4" s="3" t="inlineStr">
        <is>
          <t>ZDPX03046/0.0-RJXG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需求描述是否清晰准确？各个需求之间是否存在冲突和矛盾，同一需求的描述是否始终一致。</t>
        </is>
      </c>
      <c r="C9" s="3" t="n"/>
      <c r="D9" s="3" t="n"/>
      <c r="E9" s="3" t="n"/>
      <c r="F9" s="3" t="n"/>
      <c r="G9" s="3" t="inlineStr">
        <is>
          <t>✓</t>
        </is>
      </c>
      <c r="H9" s="3" t="n"/>
      <c r="I9" s="3" t="n"/>
      <c r="J9" s="3" t="inlineStr"/>
      <c r="K9" s="3" t="inlineStr"/>
      <c r="L9" s="3" t="n"/>
    </row>
    <row r="10" ht="18" customHeight="1">
      <c r="A10" s="3" t="inlineStr">
        <is>
          <t>3</t>
        </is>
      </c>
      <c r="B10" s="3" t="inlineStr">
        <is>
          <t>是否明确定义了对外接口关系及接口内容？</t>
        </is>
      </c>
      <c r="C10" s="3" t="n"/>
      <c r="D10" s="3" t="n"/>
      <c r="E10" s="3" t="n"/>
      <c r="F10" s="3" t="n"/>
      <c r="G10" s="3" t="inlineStr">
        <is>
          <t>✓</t>
        </is>
      </c>
      <c r="H10" s="3" t="n"/>
      <c r="I10" s="3" t="n"/>
      <c r="J10" s="3" t="inlineStr"/>
      <c r="K10" s="3" t="inlineStr"/>
      <c r="L10" s="3" t="n"/>
    </row>
    <row r="11" ht="18" customHeight="1">
      <c r="A11" s="3" t="inlineStr">
        <is>
          <t>4</t>
        </is>
      </c>
      <c r="B11" s="3" t="inlineStr">
        <is>
          <t>是否明确定义了内部接口关系及接口内容？</t>
        </is>
      </c>
      <c r="C11" s="3" t="n"/>
      <c r="D11" s="3" t="n"/>
      <c r="E11" s="3" t="n"/>
      <c r="F11" s="3" t="n"/>
      <c r="G11" s="3" t="inlineStr">
        <is>
          <t>✓</t>
        </is>
      </c>
      <c r="H11" s="3" t="n"/>
      <c r="I11" s="3" t="n"/>
      <c r="J11" s="3" t="inlineStr"/>
      <c r="K11" s="3" t="inlineStr"/>
      <c r="L11" s="3" t="n"/>
    </row>
    <row r="12" ht="18" customHeight="1">
      <c r="A12" s="3" t="inlineStr">
        <is>
          <t>5</t>
        </is>
      </c>
      <c r="B12" s="3" t="inlineStr">
        <is>
          <t>是否明确定义了软件内部所有数据元素（包括数据库和数据文件）的需求？</t>
        </is>
      </c>
      <c r="C12" s="3" t="n"/>
      <c r="D12" s="3" t="n"/>
      <c r="E12" s="3" t="n"/>
      <c r="F12" s="3" t="n"/>
      <c r="G12" s="3" t="inlineStr">
        <is>
          <t>✓</t>
        </is>
      </c>
      <c r="H12" s="3" t="n"/>
      <c r="I12" s="3" t="n"/>
      <c r="J12" s="3" t="inlineStr"/>
      <c r="K12" s="3" t="inlineStr"/>
      <c r="L12" s="3" t="n"/>
    </row>
    <row r="13" ht="18" customHeight="1">
      <c r="A13" s="3" t="inlineStr">
        <is>
          <t>6*</t>
        </is>
      </c>
      <c r="B13" s="3" t="inlineStr">
        <is>
          <t>所有技术需求是否都具备可测试性？</t>
        </is>
      </c>
      <c r="C13" s="3" t="n"/>
      <c r="D13" s="3" t="n"/>
      <c r="E13" s="3" t="n"/>
      <c r="F13" s="3" t="n"/>
      <c r="G13" s="3" t="inlineStr">
        <is>
          <t>✓</t>
        </is>
      </c>
      <c r="H13" s="3" t="n"/>
      <c r="I13" s="3" t="n"/>
      <c r="J13" s="3" t="inlineStr"/>
      <c r="K13" s="3" t="inlineStr"/>
      <c r="L13" s="3" t="n"/>
    </row>
    <row r="14" ht="18" customHeight="1">
      <c r="A14" s="3" t="inlineStr">
        <is>
          <t>7</t>
        </is>
      </c>
      <c r="B14" s="3" t="inlineStr">
        <is>
          <t>是否准确说明CSCI适应性要求（即在进行安装和运行时系统环境变量参数要求）？</t>
        </is>
      </c>
      <c r="C14" s="3" t="n"/>
      <c r="D14" s="3" t="n"/>
      <c r="E14" s="3" t="n"/>
      <c r="F14" s="3" t="n"/>
      <c r="G14" s="3" t="inlineStr">
        <is>
          <t>✓</t>
        </is>
      </c>
      <c r="H14" s="3" t="n"/>
      <c r="I14" s="3" t="n"/>
      <c r="J14" s="3" t="inlineStr"/>
      <c r="K14" s="3" t="inlineStr"/>
      <c r="L14" s="3" t="n"/>
    </row>
    <row r="15" ht="18" customHeight="1">
      <c r="A15" s="3" t="inlineStr">
        <is>
          <t>8*</t>
        </is>
      </c>
      <c r="B15" s="3" t="inlineStr">
        <is>
          <t>是否正确描述了安全性要求，且合理可行和可验证？</t>
        </is>
      </c>
      <c r="C15" s="3" t="n"/>
      <c r="D15" s="3" t="n"/>
      <c r="E15" s="3" t="n"/>
      <c r="F15" s="3" t="n"/>
      <c r="G15" s="3" t="n"/>
      <c r="H15" s="3" t="inlineStr">
        <is>
          <t>✓</t>
        </is>
      </c>
      <c r="I15" s="3" t="n"/>
      <c r="J15" s="3" t="inlineStr">
        <is>
          <t>严重</t>
        </is>
      </c>
      <c r="K15" s="3" t="inlineStr">
        <is>
          <t>必要内容覆盖不完整</t>
        </is>
      </c>
      <c r="L15" s="3" t="n"/>
    </row>
    <row r="16" ht="18" customHeight="1">
      <c r="A16" s="3" t="inlineStr">
        <is>
          <t>9*</t>
        </is>
      </c>
      <c r="B16" s="3" t="inlineStr">
        <is>
          <t>是否正确描述了保密性要求，且合理可行和可验证？</t>
        </is>
      </c>
      <c r="C16" s="3" t="n"/>
      <c r="D16" s="3" t="n"/>
      <c r="E16" s="3" t="n"/>
      <c r="F16" s="3" t="n"/>
      <c r="G16" s="3" t="inlineStr">
        <is>
          <t>✓</t>
        </is>
      </c>
      <c r="H16" s="3" t="n"/>
      <c r="I16" s="3" t="n"/>
      <c r="J16" s="3" t="inlineStr"/>
      <c r="K16" s="3" t="inlineStr"/>
      <c r="L16" s="3" t="n"/>
    </row>
    <row r="17" ht="30" customHeight="1">
      <c r="A17" s="3" t="inlineStr">
        <is>
          <t>10*</t>
        </is>
      </c>
      <c r="B17" s="3" t="inlineStr">
        <is>
          <t>是否完整、准确描述软件运行的计算机硬件和操作系统等环境需求且与软件研制任务书的要求一致?</t>
        </is>
      </c>
      <c r="C17" s="3" t="n"/>
      <c r="D17" s="3" t="n"/>
      <c r="E17" s="3" t="n"/>
      <c r="F17" s="3" t="n"/>
      <c r="G17" s="3" t="inlineStr">
        <is>
          <t>✓</t>
        </is>
      </c>
      <c r="H17" s="3" t="n"/>
      <c r="I17" s="3" t="n"/>
      <c r="J17" s="3" t="inlineStr"/>
      <c r="K17" s="3" t="inlineStr"/>
      <c r="L17" s="3" t="n"/>
    </row>
    <row r="18" ht="30" customHeight="1">
      <c r="A18" s="3" t="inlineStr">
        <is>
          <t>11*</t>
        </is>
      </c>
      <c r="B18" s="3" t="inlineStr">
        <is>
          <t>是否准确描述了软件研制任务书中对软件质量方面的要求（如：软件的功能性、可靠性、可维护性、可用性、灵活性、可移植性、可重用性、可测试性、易用性）且合理可行和可验证?</t>
        </is>
      </c>
      <c r="C18" s="3" t="n"/>
      <c r="D18" s="3" t="n"/>
      <c r="E18" s="3" t="n"/>
      <c r="F18" s="3" t="n"/>
      <c r="G18" s="3" t="inlineStr">
        <is>
          <t>✓</t>
        </is>
      </c>
      <c r="H18" s="3" t="n"/>
      <c r="I18" s="3" t="n"/>
      <c r="J18" s="3" t="inlineStr"/>
      <c r="K18" s="3" t="inlineStr"/>
      <c r="L18" s="3" t="n"/>
    </row>
    <row r="19" ht="18" customHeight="1">
      <c r="A19" s="3" t="inlineStr">
        <is>
          <t>12</t>
        </is>
      </c>
      <c r="B19" s="3" t="inlineStr">
        <is>
          <t>是否正确说明了CSCI对人员因素的工程需求（人的能力、限制、人为错误、环境影响）？</t>
        </is>
      </c>
      <c r="C19" s="3" t="n"/>
      <c r="D19" s="3" t="n"/>
      <c r="E19" s="3" t="n"/>
      <c r="F19" s="3" t="n"/>
      <c r="G19" s="3" t="inlineStr">
        <is>
          <t>✓</t>
        </is>
      </c>
      <c r="H19" s="3" t="n"/>
      <c r="I19" s="3" t="n"/>
      <c r="J19" s="3" t="inlineStr"/>
      <c r="K19" s="3" t="inlineStr"/>
      <c r="L19" s="3" t="n"/>
    </row>
    <row r="20" ht="18" customHeight="1">
      <c r="A20" s="3" t="inlineStr">
        <is>
          <t>13</t>
        </is>
      </c>
      <c r="B20" s="3" t="inlineStr">
        <is>
          <t>是否正确地提出了为用户提供的软件培训的需求？</t>
        </is>
      </c>
      <c r="C20" s="3" t="n"/>
      <c r="D20" s="3" t="n"/>
      <c r="E20" s="3" t="n"/>
      <c r="F20" s="3" t="n"/>
      <c r="G20" s="3" t="inlineStr">
        <is>
          <t>✓</t>
        </is>
      </c>
      <c r="H20" s="3" t="n"/>
      <c r="I20" s="3" t="n"/>
      <c r="J20" s="3" t="inlineStr"/>
      <c r="K20" s="3" t="inlineStr"/>
      <c r="L20" s="3" t="n"/>
    </row>
    <row r="21" ht="18" customHeight="1">
      <c r="A21" s="3" t="inlineStr">
        <is>
          <t>14</t>
        </is>
      </c>
      <c r="B21" s="3" t="inlineStr">
        <is>
          <t>是否准确说明了有关软件交付用户方面的要求？</t>
        </is>
      </c>
      <c r="C21" s="3" t="n"/>
      <c r="D21" s="3" t="n"/>
      <c r="E21" s="3" t="n"/>
      <c r="F21" s="3" t="n"/>
      <c r="G21" s="3" t="inlineStr">
        <is>
          <t>✓</t>
        </is>
      </c>
      <c r="H21" s="3" t="n"/>
      <c r="I21" s="3" t="n"/>
      <c r="J21" s="3" t="inlineStr"/>
      <c r="K21" s="3" t="inlineStr"/>
      <c r="L21" s="3" t="n"/>
    </row>
    <row r="22" ht="18" customHeight="1">
      <c r="A22" s="3" t="inlineStr">
        <is>
          <t>15</t>
        </is>
      </c>
      <c r="B22" s="3" t="inlineStr">
        <is>
          <t>是否说明了软件介质的标识、封装、防震等包装方面需？</t>
        </is>
      </c>
      <c r="C22" s="3" t="n"/>
      <c r="D22" s="3" t="n"/>
      <c r="E22" s="3" t="n"/>
      <c r="F22" s="3" t="n"/>
      <c r="G22" s="3" t="inlineStr">
        <is>
          <t>✓</t>
        </is>
      </c>
      <c r="H22" s="3" t="n"/>
      <c r="I22" s="3" t="n"/>
      <c r="J22" s="3" t="inlineStr"/>
      <c r="K22" s="3" t="inlineStr"/>
      <c r="L22" s="3" t="n"/>
    </row>
    <row r="23" ht="18" customHeight="1">
      <c r="A23" s="3" t="inlineStr">
        <is>
          <t>16</t>
        </is>
      </c>
      <c r="B23" s="3" t="inlineStr">
        <is>
          <t>是否明确定义了软件的安全关键等级?</t>
        </is>
      </c>
      <c r="C23" s="3" t="n"/>
      <c r="D23" s="3" t="n"/>
      <c r="E23" s="3" t="n"/>
      <c r="F23" s="3" t="n"/>
      <c r="G23" s="3" t="inlineStr">
        <is>
          <t>✓</t>
        </is>
      </c>
      <c r="H23" s="3" t="n"/>
      <c r="I23" s="3" t="n"/>
      <c r="J23" s="3" t="inlineStr"/>
      <c r="K23" s="3" t="inlineStr"/>
      <c r="L23" s="3" t="n"/>
    </row>
    <row r="24" ht="18" customHeight="1">
      <c r="A24" s="3" t="inlineStr">
        <is>
          <t>17</t>
        </is>
      </c>
      <c r="B24" s="3" t="inlineStr">
        <is>
          <t>是否完整、准确地说明了已定义的软件需求的合格性审查方法？</t>
        </is>
      </c>
      <c r="C24" s="3" t="n"/>
      <c r="D24" s="3" t="n"/>
      <c r="E24" s="3" t="n"/>
      <c r="F24" s="3" t="n"/>
      <c r="G24" s="3" t="n"/>
      <c r="H24" s="3" t="inlineStr">
        <is>
          <t>✓</t>
        </is>
      </c>
      <c r="I24" s="3" t="n"/>
      <c r="J24" s="3" t="inlineStr">
        <is>
          <t>一般</t>
        </is>
      </c>
      <c r="K24" s="3" t="inlineStr">
        <is>
          <t>必要内容覆盖不完整</t>
        </is>
      </c>
      <c r="L24" s="3" t="n"/>
    </row>
    <row r="25" ht="18" customHeight="1">
      <c r="A25" s="3" t="inlineStr">
        <is>
          <t>18*</t>
        </is>
      </c>
      <c r="B25" s="3" t="inlineStr">
        <is>
          <t>软件设计约束条件是否与软件研制任务书一致？</t>
        </is>
      </c>
      <c r="C25" s="3" t="n"/>
      <c r="D25" s="3" t="n"/>
      <c r="E25" s="3" t="n"/>
      <c r="F25" s="3" t="n"/>
      <c r="G25" s="3" t="inlineStr">
        <is>
          <t>✓</t>
        </is>
      </c>
      <c r="H25" s="3" t="n"/>
      <c r="I25" s="3" t="n"/>
      <c r="J25" s="3" t="inlineStr"/>
      <c r="K25" s="3" t="inlineStr"/>
      <c r="L25" s="3" t="n"/>
    </row>
    <row r="26" ht="18" customHeight="1">
      <c r="A26" s="3" t="inlineStr">
        <is>
          <t>19*</t>
        </is>
      </c>
      <c r="B26" s="3" t="inlineStr">
        <is>
          <t>是否完整、准确地建立了已定义的CSCI需求与上级需求的映射关系，建立需求跟踪表？</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12</v>
      </c>
      <c r="B30" s="3" t="inlineStr">
        <is>
          <t>8</t>
        </is>
      </c>
      <c r="C30" s="3" t="inlineStr">
        <is>
          <t>相关工作产品未完整覆盖本检查项要求的必要内容和适用场景，当前结果不能支撑该项要求已经全部落实。</t>
        </is>
      </c>
      <c r="D30" s="3" t="n"/>
      <c r="E30" s="3" t="n"/>
      <c r="F30" s="3" t="inlineStr">
        <is>
          <t>严重</t>
        </is>
      </c>
      <c r="G30" s="3" t="inlineStr">
        <is>
          <t>赵要浦</t>
        </is>
      </c>
      <c r="H30" s="3" t="inlineStr">
        <is>
          <t>2026-01-15</t>
        </is>
      </c>
      <c r="I30" s="3" t="inlineStr">
        <is>
          <t>2026-01-16</t>
        </is>
      </c>
      <c r="J30" s="3" t="inlineStr">
        <is>
          <t>补齐遗漏内容和适用场景，核对相关输入后组织复核，并保留复核结论。</t>
        </is>
      </c>
      <c r="K30" s="3" t="n"/>
      <c r="L30" s="3" t="inlineStr">
        <is>
          <t>否</t>
        </is>
      </c>
    </row>
    <row r="31" ht="30" customHeight="1">
      <c r="A31" s="3" t="n">
        <v>13</v>
      </c>
      <c r="B31" s="3" t="inlineStr">
        <is>
          <t>17</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2026-01-15</t>
        </is>
      </c>
      <c r="I31" s="3" t="inlineStr">
        <is>
          <t>2026-01-16</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相控阵数字样机软件需求规格说明</t>
        </is>
      </c>
      <c r="G4" s="3" t="n"/>
      <c r="H4" s="3" t="n"/>
      <c r="I4" s="3" t="n"/>
      <c r="J4" s="3" t="n"/>
      <c r="K4" s="3" t="n"/>
    </row>
    <row r="5">
      <c r="B5" s="4" t="inlineStr">
        <is>
          <t>审核人</t>
        </is>
      </c>
      <c r="C5" s="4" t="n"/>
      <c r="D5" s="3" t="inlineStr">
        <is>
          <t>高蕾</t>
        </is>
      </c>
      <c r="E5" s="3" t="n"/>
      <c r="F5" s="4" t="inlineStr">
        <is>
          <t>审核日期</t>
        </is>
      </c>
      <c r="G5" s="4" t="n"/>
      <c r="H5" s="3" t="inlineStr">
        <is>
          <t>2026-01-15</t>
        </is>
      </c>
      <c r="I5" s="3" t="n"/>
      <c r="J5" s="3" t="n"/>
      <c r="K5" s="3" t="n"/>
    </row>
    <row r="6">
      <c r="B6" s="4" t="inlineStr">
        <is>
          <t>审核依据</t>
        </is>
      </c>
      <c r="C6" s="4" t="n"/>
      <c r="D6" s="3" t="inlineStr">
        <is>
          <t>ZDPX-03046/0.0-QA-检查单-012</t>
        </is>
      </c>
      <c r="E6" s="3" t="n"/>
      <c r="F6" s="3" t="n"/>
      <c r="G6" s="3" t="n"/>
      <c r="H6" s="3" t="n"/>
      <c r="I6" s="3" t="n"/>
      <c r="J6" s="3" t="n"/>
      <c r="K6" s="3" t="n"/>
    </row>
    <row r="7">
      <c r="B7" s="3" t="inlineStr">
        <is>
          <t>本次审核依据《软件需求规格说明检查单》实施。经审核，发现2个不符合项。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'C012-相控阵数字样机软件需求规格说明'!C30</f>
        <v/>
      </c>
      <c r="D13" s="3" t="n"/>
      <c r="E13" s="3" t="n"/>
      <c r="F13" s="3">
        <f>'C012-相控阵数字样机软件需求规格说明'!F30</f>
        <v/>
      </c>
      <c r="G13" s="3">
        <f>'C012-相控阵数字样机软件需求规格说明'!G30</f>
        <v/>
      </c>
      <c r="H13" s="3">
        <f>'C012-相控阵数字样机软件需求规格说明'!H30</f>
        <v/>
      </c>
      <c r="I13" s="3">
        <f>'C012-相控阵数字样机软件需求规格说明'!I30</f>
        <v/>
      </c>
      <c r="J13" s="3">
        <f>'C012-相控阵数字样机软件需求规格说明'!J30</f>
        <v/>
      </c>
      <c r="K13" s="3" t="n"/>
    </row>
    <row r="14" ht="30" customHeight="1">
      <c r="B14" s="3" t="n">
        <v>2</v>
      </c>
      <c r="C14" s="3">
        <f>'C012-相控阵数字样机软件需求规格说明'!C31</f>
        <v/>
      </c>
      <c r="D14" s="3" t="n"/>
      <c r="E14" s="3" t="n"/>
      <c r="F14" s="3">
        <f>'C012-相控阵数字样机软件需求规格说明'!F31</f>
        <v/>
      </c>
      <c r="G14" s="3">
        <f>'C012-相控阵数字样机软件需求规格说明'!G31</f>
        <v/>
      </c>
      <c r="H14" s="3">
        <f>'C012-相控阵数字样机软件需求规格说明'!H31</f>
        <v/>
      </c>
      <c r="I14" s="3">
        <f>'C012-相控阵数字样机软件需求规格说明'!I31</f>
        <v/>
      </c>
      <c r="J14" s="3">
        <f>'C012-相控阵数字样机软件需求规格说明'!J31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编号：ZDPX-03046/0.0-QA-检查单-013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相控阵数字样机软件测试计划</t>
        </is>
      </c>
      <c r="D4" s="3" t="n"/>
      <c r="E4" s="3" t="n"/>
      <c r="F4" s="4" t="inlineStr">
        <is>
          <t>产品标识</t>
        </is>
      </c>
      <c r="G4" s="4" t="n"/>
      <c r="H4" s="3" t="inlineStr">
        <is>
          <t>ZDPX03046/0.0-HCJH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n"/>
      <c r="H14" s="3" t="inlineStr">
        <is>
          <t>✓</t>
        </is>
      </c>
      <c r="I14" s="3" t="n"/>
      <c r="J14" s="3" t="inlineStr">
        <is>
          <t>一般</t>
        </is>
      </c>
      <c r="K14" s="3" t="inlineStr">
        <is>
          <t>必要内容覆盖不完整</t>
        </is>
      </c>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14</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2026-01-21</t>
        </is>
      </c>
      <c r="I21" s="3" t="inlineStr">
        <is>
          <t>2026-01-22</t>
        </is>
      </c>
      <c r="J21" s="3" t="inlineStr">
        <is>
          <t>补齐遗漏内容和适用场景，核对相关输入后组织复核，并保留复核结论。</t>
        </is>
      </c>
      <c r="K21" s="3" t="n"/>
      <c r="L21" s="3" t="inlineStr">
        <is>
          <t>否</t>
        </is>
      </c>
    </row>
    <row r="22" ht="30" customHeight="1">
      <c r="A22" s="3" t="n">
        <v>15</v>
      </c>
      <c r="B22" s="3" t="inlineStr">
        <is>
          <t>7</t>
        </is>
      </c>
      <c r="C22" s="3" t="inlineStr">
        <is>
          <t>相关工作产品未完整覆盖本检查项要求的必要内容和适用场景，当前结果不能支撑该项要求已经全部落实。</t>
        </is>
      </c>
      <c r="D22" s="3" t="n"/>
      <c r="E22" s="3" t="n"/>
      <c r="F22" s="3" t="inlineStr">
        <is>
          <t>一般</t>
        </is>
      </c>
      <c r="G22" s="3" t="inlineStr">
        <is>
          <t>赵要浦</t>
        </is>
      </c>
      <c r="H22" s="3" t="inlineStr">
        <is>
          <t>2026-01-21</t>
        </is>
      </c>
      <c r="I22" s="3" t="inlineStr">
        <is>
          <t>2026-01-22</t>
        </is>
      </c>
      <c r="J22" s="3" t="inlineStr">
        <is>
          <t>补齐遗漏内容和适用场景，核对相关输入后组织复核，并保留复核结论。</t>
        </is>
      </c>
      <c r="K22" s="3" t="n"/>
      <c r="L2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8">
    <mergeCell ref="K16:L16"/>
    <mergeCell ref="F4:G4"/>
    <mergeCell ref="A7:L7"/>
    <mergeCell ref="B16:F16"/>
    <mergeCell ref="K15:L15"/>
    <mergeCell ref="C22:E22"/>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J22:K22"/>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相控阵数字样机软件测试计划</t>
        </is>
      </c>
      <c r="G4" s="3" t="n"/>
      <c r="H4" s="3" t="n"/>
      <c r="I4" s="3" t="n"/>
      <c r="J4" s="3" t="n"/>
      <c r="K4" s="3" t="n"/>
    </row>
    <row r="5">
      <c r="B5" s="4" t="inlineStr">
        <is>
          <t>审核人</t>
        </is>
      </c>
      <c r="C5" s="4" t="n"/>
      <c r="D5" s="3" t="inlineStr">
        <is>
          <t>高蕾</t>
        </is>
      </c>
      <c r="E5" s="3" t="n"/>
      <c r="F5" s="4" t="inlineStr">
        <is>
          <t>审核日期</t>
        </is>
      </c>
      <c r="G5" s="4" t="n"/>
      <c r="H5" s="3" t="inlineStr">
        <is>
          <t>2026-01-21</t>
        </is>
      </c>
      <c r="I5" s="3" t="n"/>
      <c r="J5" s="3" t="n"/>
      <c r="K5" s="3" t="n"/>
    </row>
    <row r="6">
      <c r="B6" s="4" t="inlineStr">
        <is>
          <t>审核依据</t>
        </is>
      </c>
      <c r="C6" s="4" t="n"/>
      <c r="D6" s="3" t="inlineStr">
        <is>
          <t>ZDPX-03046/0.0-QA-检查单-013</t>
        </is>
      </c>
      <c r="E6" s="3" t="n"/>
      <c r="F6" s="3" t="n"/>
      <c r="G6" s="3" t="n"/>
      <c r="H6" s="3" t="n"/>
      <c r="I6" s="3" t="n"/>
      <c r="J6" s="3" t="n"/>
      <c r="K6" s="3" t="n"/>
    </row>
    <row r="7">
      <c r="B7" s="3" t="inlineStr">
        <is>
          <t>本次审核依据《软件测试计划检查单》实施。经审核，发现2个不符合项。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'C013-相控阵数字样机软件测试计划'!C21</f>
        <v/>
      </c>
      <c r="D13" s="3" t="n"/>
      <c r="E13" s="3" t="n"/>
      <c r="F13" s="3">
        <f>'C013-相控阵数字样机软件测试计划'!F21</f>
        <v/>
      </c>
      <c r="G13" s="3">
        <f>'C013-相控阵数字样机软件测试计划'!G21</f>
        <v/>
      </c>
      <c r="H13" s="3">
        <f>'C013-相控阵数字样机软件测试计划'!H21</f>
        <v/>
      </c>
      <c r="I13" s="3">
        <f>'C013-相控阵数字样机软件测试计划'!I21</f>
        <v/>
      </c>
      <c r="J13" s="3">
        <f>'C013-相控阵数字样机软件测试计划'!J21</f>
        <v/>
      </c>
      <c r="K13" s="3" t="n"/>
    </row>
    <row r="14" ht="30" customHeight="1">
      <c r="B14" s="3" t="n">
        <v>2</v>
      </c>
      <c r="C14" s="3">
        <f>'C013-相控阵数字样机软件测试计划'!C22</f>
        <v/>
      </c>
      <c r="D14" s="3" t="n"/>
      <c r="E14" s="3" t="n"/>
      <c r="F14" s="3">
        <f>'C013-相控阵数字样机软件测试计划'!F22</f>
        <v/>
      </c>
      <c r="G14" s="3">
        <f>'C013-相控阵数字样机软件测试计划'!G22</f>
        <v/>
      </c>
      <c r="H14" s="3">
        <f>'C013-相控阵数字样机软件测试计划'!H22</f>
        <v/>
      </c>
      <c r="I14" s="3">
        <f>'C013-相控阵数字样机软件测试计划'!I22</f>
        <v/>
      </c>
      <c r="J14" s="3">
        <f>'C013-相控阵数字样机软件测试计划'!J22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L39"/>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编号：ZDPX-03046/0.0-QA-检查单-014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n"/>
      <c r="H27" s="3" t="inlineStr">
        <is>
          <t>✓</t>
        </is>
      </c>
      <c r="I27" s="3" t="n"/>
      <c r="J27" s="3" t="inlineStr">
        <is>
          <t>严重</t>
        </is>
      </c>
      <c r="K27" s="3" t="inlineStr">
        <is>
          <t>必要内容覆盖不完整</t>
        </is>
      </c>
      <c r="L27" s="3" t="n"/>
    </row>
    <row r="28" ht="18" customHeight="1">
      <c r="A28" s="3" t="inlineStr">
        <is>
          <t>8</t>
        </is>
      </c>
      <c r="B28" s="3" t="inlineStr">
        <is>
          <t>对于测试发现的缺陷有无进行标识、记录并形成问题报告单？</t>
        </is>
      </c>
      <c r="C28" s="3" t="n"/>
      <c r="D28" s="3" t="n"/>
      <c r="E28" s="3" t="n"/>
      <c r="F28" s="3" t="n"/>
      <c r="G28" s="3" t="n"/>
      <c r="H28" s="3" t="inlineStr">
        <is>
          <t>✓</t>
        </is>
      </c>
      <c r="I28" s="3" t="n"/>
      <c r="J28" s="3" t="inlineStr">
        <is>
          <t>一般</t>
        </is>
      </c>
      <c r="K28" s="3" t="inlineStr">
        <is>
          <t>必要内容覆盖不完整</t>
        </is>
      </c>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ht="30" customHeight="1">
      <c r="A38" s="3" t="n">
        <v>16</v>
      </c>
      <c r="B38" s="3" t="inlineStr">
        <is>
          <t>7</t>
        </is>
      </c>
      <c r="C38" s="3" t="inlineStr">
        <is>
          <t>相关工作产品未完整覆盖本检查项要求的必要内容和适用场景，当前结果不能支撑该项要求已经全部落实。</t>
        </is>
      </c>
      <c r="D38" s="3" t="n"/>
      <c r="E38" s="3" t="n"/>
      <c r="F38" s="3" t="inlineStr">
        <is>
          <t>严重</t>
        </is>
      </c>
      <c r="G38" s="3" t="inlineStr">
        <is>
          <t>赵要浦</t>
        </is>
      </c>
      <c r="H38" s="3" t="inlineStr">
        <is>
          <t>2026-01-23</t>
        </is>
      </c>
      <c r="I38" s="3" t="inlineStr">
        <is>
          <t>2026-01-23</t>
        </is>
      </c>
      <c r="J38" s="3" t="inlineStr">
        <is>
          <t>补齐遗漏内容和适用场景，核对相关输入后组织复核，并保留复核结论。</t>
        </is>
      </c>
      <c r="K38" s="3" t="n"/>
      <c r="L38" s="3" t="inlineStr">
        <is>
          <t>否</t>
        </is>
      </c>
    </row>
    <row r="39" ht="30" customHeight="1">
      <c r="A39" s="3" t="n">
        <v>17</v>
      </c>
      <c r="B39" s="3" t="inlineStr">
        <is>
          <t>8</t>
        </is>
      </c>
      <c r="C39" s="3" t="inlineStr">
        <is>
          <t>相关工作产品未完整覆盖本检查项要求的必要内容和适用场景，当前结果不能支撑该项要求已经全部落实。</t>
        </is>
      </c>
      <c r="D39" s="3" t="n"/>
      <c r="E39" s="3" t="n"/>
      <c r="F39" s="3" t="inlineStr">
        <is>
          <t>一般</t>
        </is>
      </c>
      <c r="G39" s="3" t="inlineStr">
        <is>
          <t>赵要浦</t>
        </is>
      </c>
      <c r="H39" s="3" t="inlineStr">
        <is>
          <t>2026-01-23</t>
        </is>
      </c>
      <c r="I39" s="3" t="inlineStr">
        <is>
          <t>2026-01-23</t>
        </is>
      </c>
      <c r="J39" s="3" t="inlineStr">
        <is>
          <t>补齐遗漏内容和适用场景，核对相关输入后组织复核，并保留复核结论。</t>
        </is>
      </c>
      <c r="K39" s="3" t="n"/>
      <c r="L39"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J39:K39"/>
    <mergeCell ref="K30:L30"/>
    <mergeCell ref="K25:L25"/>
    <mergeCell ref="A7:L7"/>
    <mergeCell ref="K34:L34"/>
    <mergeCell ref="B16:F16"/>
    <mergeCell ref="K24:L24"/>
    <mergeCell ref="J38:K38"/>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C39:E39"/>
    <mergeCell ref="B23:F23"/>
    <mergeCell ref="K31:L31"/>
    <mergeCell ref="B8:F8"/>
    <mergeCell ref="B14:F14"/>
    <mergeCell ref="K22:L22"/>
    <mergeCell ref="A3:B3"/>
    <mergeCell ref="B17:F17"/>
    <mergeCell ref="B13:F13"/>
    <mergeCell ref="C38:E38"/>
    <mergeCell ref="A20:L20"/>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ZDPX-03046/0.0-QA-检查单-014</t>
        </is>
      </c>
      <c r="E6" s="3" t="n"/>
      <c r="F6" s="3" t="n"/>
      <c r="G6" s="3" t="n"/>
      <c r="H6" s="3" t="n"/>
      <c r="I6" s="3" t="n"/>
      <c r="J6" s="3" t="n"/>
      <c r="K6" s="3" t="n"/>
    </row>
    <row r="7">
      <c r="B7" s="3" t="inlineStr">
        <is>
          <t>本次审核依据《验证与确认检查单》实施。经审核，发现2个不符合项。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'C014-审核验证与确认过程'!C38</f>
        <v/>
      </c>
      <c r="D13" s="3" t="n"/>
      <c r="E13" s="3" t="n"/>
      <c r="F13" s="3">
        <f>'C014-审核验证与确认过程'!F38</f>
        <v/>
      </c>
      <c r="G13" s="3">
        <f>'C014-审核验证与确认过程'!G38</f>
        <v/>
      </c>
      <c r="H13" s="3">
        <f>'C014-审核验证与确认过程'!H38</f>
        <v/>
      </c>
      <c r="I13" s="3">
        <f>'C014-审核验证与确认过程'!I38</f>
        <v/>
      </c>
      <c r="J13" s="3">
        <f>'C014-审核验证与确认过程'!J38</f>
        <v/>
      </c>
      <c r="K13" s="3" t="n"/>
    </row>
    <row r="14" ht="30" customHeight="1">
      <c r="B14" s="3" t="n">
        <v>2</v>
      </c>
      <c r="C14" s="3">
        <f>'C014-审核验证与确认过程'!C39</f>
        <v/>
      </c>
      <c r="D14" s="3" t="n"/>
      <c r="E14" s="3" t="n"/>
      <c r="F14" s="3">
        <f>'C014-审核验证与确认过程'!F39</f>
        <v/>
      </c>
      <c r="G14" s="3">
        <f>'C014-审核验证与确认过程'!G39</f>
        <v/>
      </c>
      <c r="H14" s="3">
        <f>'C014-审核验证与确认过程'!H39</f>
        <v/>
      </c>
      <c r="I14" s="3">
        <f>'C014-审核验证与确认过程'!I39</f>
        <v/>
      </c>
      <c r="J14" s="3">
        <f>'C014-审核验证与确认过程'!J39</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编号：ZDPX-03046/0.0-QA-检查单-015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n"/>
      <c r="H27" s="3" t="inlineStr">
        <is>
          <t>✓</t>
        </is>
      </c>
      <c r="I27" s="3" t="n"/>
      <c r="J27" s="3" t="inlineStr">
        <is>
          <t>严重</t>
        </is>
      </c>
      <c r="K27" s="3" t="inlineStr">
        <is>
          <t>必要内容覆盖不完整</t>
        </is>
      </c>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18</v>
      </c>
      <c r="B41" s="3" t="inlineStr">
        <is>
          <t>19</t>
        </is>
      </c>
      <c r="C41" s="3" t="inlineStr">
        <is>
          <t>相关工作产品未完整覆盖本检查项要求的必要内容和适用场景，当前结果不能支撑该项要求已经全部落实。</t>
        </is>
      </c>
      <c r="D41" s="3" t="n"/>
      <c r="E41" s="3" t="n"/>
      <c r="F41" s="3" t="inlineStr">
        <is>
          <t>严重</t>
        </is>
      </c>
      <c r="G41" s="3" t="inlineStr">
        <is>
          <t>赵要浦</t>
        </is>
      </c>
      <c r="H41" s="3" t="inlineStr">
        <is>
          <t>2026-01-23</t>
        </is>
      </c>
      <c r="I41" s="3" t="inlineStr">
        <is>
          <t>2026-01-23</t>
        </is>
      </c>
      <c r="J41" s="3" t="inlineStr">
        <is>
          <t>补齐遗漏内容和适用场景，核对相关输入后组织复核，并保留复核结论。</t>
        </is>
      </c>
      <c r="K41" s="3" t="n"/>
      <c r="L41" s="3" t="inlineStr">
        <is>
          <t>否</t>
        </is>
      </c>
    </row>
    <row r="42" ht="30" customHeight="1">
      <c r="A42" s="3" t="n">
        <v>19</v>
      </c>
      <c r="B42" s="3" t="inlineStr">
        <is>
          <t>21</t>
        </is>
      </c>
      <c r="C42" s="3" t="inlineStr">
        <is>
          <t>相关工作产品未完整覆盖本检查项要求的必要内容和适用场景，当前结果不能支撑该项要求已经全部落实。</t>
        </is>
      </c>
      <c r="D42" s="3" t="n"/>
      <c r="E42" s="3" t="n"/>
      <c r="F42" s="3" t="inlineStr">
        <is>
          <t>一般</t>
        </is>
      </c>
      <c r="G42" s="3" t="inlineStr">
        <is>
          <t>赵要浦</t>
        </is>
      </c>
      <c r="H42" s="3" t="inlineStr">
        <is>
          <t>2026-01-23</t>
        </is>
      </c>
      <c r="I42" s="3" t="inlineStr">
        <is>
          <t>2026-01-23</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ZDPX-03046/0.0-QA-检查单-015</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'C015-审核需求开发与管理过程'!C41</f>
        <v/>
      </c>
      <c r="D13" s="3" t="n"/>
      <c r="E13" s="3" t="n"/>
      <c r="F13" s="3">
        <f>'C015-审核需求开发与管理过程'!F41</f>
        <v/>
      </c>
      <c r="G13" s="3">
        <f>'C015-审核需求开发与管理过程'!G41</f>
        <v/>
      </c>
      <c r="H13" s="3">
        <f>'C015-审核需求开发与管理过程'!H41</f>
        <v/>
      </c>
      <c r="I13" s="3">
        <f>'C015-审核需求开发与管理过程'!I41</f>
        <v/>
      </c>
      <c r="J13" s="3">
        <f>'C015-审核需求开发与管理过程'!J41</f>
        <v/>
      </c>
      <c r="K13" s="3" t="n"/>
    </row>
    <row r="14" ht="30" customHeight="1">
      <c r="B14" s="3" t="n">
        <v>2</v>
      </c>
      <c r="C14" s="3">
        <f>'C015-审核需求开发与管理过程'!C42</f>
        <v/>
      </c>
      <c r="D14" s="3" t="n"/>
      <c r="E14" s="3" t="n"/>
      <c r="F14" s="3">
        <f>'C015-审核需求开发与管理过程'!F42</f>
        <v/>
      </c>
      <c r="G14" s="3">
        <f>'C015-审核需求开发与管理过程'!G42</f>
        <v/>
      </c>
      <c r="H14" s="3">
        <f>'C015-审核需求开发与管理过程'!H42</f>
        <v/>
      </c>
      <c r="I14" s="3">
        <f>'C015-审核需求开发与管理过程'!I42</f>
        <v/>
      </c>
      <c r="J14" s="3">
        <f>'C015-审核需求开发与管理过程'!J42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编号：ZDPX-03046/0.0-QA-检查单-016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n"/>
      <c r="H29" s="3" t="inlineStr">
        <is>
          <t>✓</t>
        </is>
      </c>
      <c r="I29" s="3" t="n"/>
      <c r="J29" s="3" t="inlineStr">
        <is>
          <t>一般</t>
        </is>
      </c>
      <c r="K29" s="3" t="inlineStr">
        <is>
          <t>必要内容覆盖不完整</t>
        </is>
      </c>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20</v>
      </c>
      <c r="B33" s="3" t="inlineStr">
        <is>
          <t>1</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2026-01-23</t>
        </is>
      </c>
      <c r="I33" s="3" t="inlineStr">
        <is>
          <t>2026-01-23</t>
        </is>
      </c>
      <c r="J33" s="3" t="inlineStr">
        <is>
          <t>补齐遗漏内容和适用场景，核对相关输入后组织复核，并保留复核结论。</t>
        </is>
      </c>
      <c r="K33" s="3" t="n"/>
      <c r="L33" s="3" t="inlineStr">
        <is>
          <t>否</t>
        </is>
      </c>
    </row>
    <row r="34" ht="30" customHeight="1">
      <c r="A34" s="3" t="n">
        <v>21</v>
      </c>
      <c r="B34" s="3" t="inlineStr">
        <is>
          <t>22</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2026-01-23</t>
        </is>
      </c>
      <c r="I34" s="3" t="inlineStr">
        <is>
          <t>2026-01-23</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ZDPX-03046/0.0-QA-检查单-016</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'C016-审核配置管理过程-阶段'!C33</f>
        <v/>
      </c>
      <c r="D13" s="3" t="n"/>
      <c r="E13" s="3" t="n"/>
      <c r="F13" s="3">
        <f>'C016-审核配置管理过程-阶段'!F33</f>
        <v/>
      </c>
      <c r="G13" s="3">
        <f>'C016-审核配置管理过程-阶段'!G33</f>
        <v/>
      </c>
      <c r="H13" s="3">
        <f>'C016-审核配置管理过程-阶段'!H33</f>
        <v/>
      </c>
      <c r="I13" s="3">
        <f>'C016-审核配置管理过程-阶段'!I33</f>
        <v/>
      </c>
      <c r="J13" s="3">
        <f>'C016-审核配置管理过程-阶段'!J33</f>
        <v/>
      </c>
      <c r="K13" s="3" t="n"/>
    </row>
    <row r="14" ht="30" customHeight="1">
      <c r="B14" s="3" t="n">
        <v>2</v>
      </c>
      <c r="C14" s="3">
        <f>'C016-审核配置管理过程-阶段'!C34</f>
        <v/>
      </c>
      <c r="D14" s="3" t="n"/>
      <c r="E14" s="3" t="n"/>
      <c r="F14" s="3">
        <f>'C016-审核配置管理过程-阶段'!F34</f>
        <v/>
      </c>
      <c r="G14" s="3">
        <f>'C016-审核配置管理过程-阶段'!G34</f>
        <v/>
      </c>
      <c r="H14" s="3">
        <f>'C016-审核配置管理过程-阶段'!H34</f>
        <v/>
      </c>
      <c r="I14" s="3">
        <f>'C016-审核配置管理过程-阶段'!I34</f>
        <v/>
      </c>
      <c r="J14" s="3">
        <f>'C016-审核配置管理过程-阶段'!J34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n"/>
      <c r="H20" s="3" t="inlineStr">
        <is>
          <t>✓</t>
        </is>
      </c>
      <c r="I20" s="3" t="n"/>
      <c r="J20" s="3" t="inlineStr">
        <is>
          <t>一般</t>
        </is>
      </c>
      <c r="K20" s="3" t="inlineStr">
        <is>
          <t>必要内容覆盖不完整</t>
        </is>
      </c>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22</v>
      </c>
      <c r="B45" s="3" t="inlineStr">
        <is>
          <t>13</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2026-01-23</t>
        </is>
      </c>
      <c r="I45" s="3" t="inlineStr">
        <is>
          <t>2026-01-23</t>
        </is>
      </c>
      <c r="J45" s="3" t="inlineStr">
        <is>
          <t>补齐遗漏内容和适用场景，核对相关输入后组织复核，并保留复核结论。</t>
        </is>
      </c>
      <c r="K45" s="3" t="n"/>
      <c r="L45" s="3" t="inlineStr">
        <is>
          <t>否</t>
        </is>
      </c>
    </row>
    <row r="46" ht="30" customHeight="1">
      <c r="A46" s="3" t="n">
        <v>23</v>
      </c>
      <c r="B46" s="3" t="inlineStr">
        <is>
          <t>22</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2026-01-23</t>
        </is>
      </c>
      <c r="I46" s="3" t="inlineStr">
        <is>
          <t>2026-01-23</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ZDPX-03046/0.0-QA-检查单-017</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'C017-审核项目监控过程-阶段'!C45</f>
        <v/>
      </c>
      <c r="D13" s="3" t="n"/>
      <c r="E13" s="3" t="n"/>
      <c r="F13" s="3">
        <f>'C017-审核项目监控过程-阶段'!F45</f>
        <v/>
      </c>
      <c r="G13" s="3">
        <f>'C017-审核项目监控过程-阶段'!G45</f>
        <v/>
      </c>
      <c r="H13" s="3">
        <f>'C017-审核项目监控过程-阶段'!H45</f>
        <v/>
      </c>
      <c r="I13" s="3">
        <f>'C017-审核项目监控过程-阶段'!I45</f>
        <v/>
      </c>
      <c r="J13" s="3">
        <f>'C017-审核项目监控过程-阶段'!J45</f>
        <v/>
      </c>
      <c r="K13" s="3" t="n"/>
    </row>
    <row r="14" ht="30" customHeight="1">
      <c r="B14" s="3" t="n">
        <v>2</v>
      </c>
      <c r="C14" s="3">
        <f>'C017-审核项目监控过程-阶段'!C46</f>
        <v/>
      </c>
      <c r="D14" s="3" t="n"/>
      <c r="E14" s="3" t="n"/>
      <c r="F14" s="3">
        <f>'C017-审核项目监控过程-阶段'!F46</f>
        <v/>
      </c>
      <c r="G14" s="3">
        <f>'C017-审核项目监控过程-阶段'!G46</f>
        <v/>
      </c>
      <c r="H14" s="3">
        <f>'C017-审核项目监控过程-阶段'!H46</f>
        <v/>
      </c>
      <c r="I14" s="3">
        <f>'C017-审核项目监控过程-阶段'!I46</f>
        <v/>
      </c>
      <c r="J14" s="3">
        <f>'C017-审核项目监控过程-阶段'!J46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24</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2026-01-23</t>
        </is>
      </c>
      <c r="I26" s="3" t="inlineStr">
        <is>
          <t>2026-01-23</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3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ZDPX-03046/0.0-QA-检查单-018</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'C018-审核测量与绩效管理过程-阶段'!C26</f>
        <v/>
      </c>
      <c r="D13" s="3" t="n"/>
      <c r="E13" s="3" t="n"/>
      <c r="F13" s="3">
        <f>'C018-审核测量与绩效管理过程-阶段'!F26</f>
        <v/>
      </c>
      <c r="G13" s="3">
        <f>'C018-审核测量与绩效管理过程-阶段'!G26</f>
        <v/>
      </c>
      <c r="H13" s="3">
        <f>'C018-审核测量与绩效管理过程-阶段'!H26</f>
        <v/>
      </c>
      <c r="I13" s="3">
        <f>'C018-审核测量与绩效管理过程-阶段'!I26</f>
        <v/>
      </c>
      <c r="J13" s="3">
        <f>'C018-审核测量与绩效管理过程-阶段'!J26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3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6</v>
      </c>
      <c r="B2">
        <f>'R006-相控阵数字样机软件测量分析计划'!F4</f>
        <v/>
      </c>
      <c r="C2">
        <f>'R006-相控阵数字样机软件测量分析计划'!B13</f>
        <v/>
      </c>
      <c r="D2" t="inlineStr">
        <is>
          <t>工作产品</t>
        </is>
      </c>
      <c r="E2">
        <f>'R006-相控阵数字样机软件测量分析计划'!C13</f>
        <v/>
      </c>
      <c r="F2">
        <f>'R006-相控阵数字样机软件测量分析计划'!F13</f>
        <v/>
      </c>
      <c r="G2" t="inlineStr">
        <is>
          <t>否</t>
        </is>
      </c>
      <c r="H2" t="inlineStr">
        <is>
          <t>2026-01-12</t>
        </is>
      </c>
      <c r="I2" t="inlineStr">
        <is>
          <t>双周</t>
        </is>
      </c>
      <c r="J2" t="inlineStr">
        <is>
          <t>2026-01-06</t>
        </is>
      </c>
    </row>
    <row r="3">
      <c r="A3" t="n">
        <v>6</v>
      </c>
      <c r="B3">
        <f>'R006-相控阵数字样机软件测量分析计划'!F4</f>
        <v/>
      </c>
      <c r="C3">
        <f>'R006-相控阵数字样机软件测量分析计划'!B14</f>
        <v/>
      </c>
      <c r="D3" t="inlineStr">
        <is>
          <t>工作产品</t>
        </is>
      </c>
      <c r="E3">
        <f>'R006-相控阵数字样机软件测量分析计划'!C14</f>
        <v/>
      </c>
      <c r="F3">
        <f>'R006-相控阵数字样机软件测量分析计划'!F14</f>
        <v/>
      </c>
      <c r="G3" t="inlineStr">
        <is>
          <t>否</t>
        </is>
      </c>
      <c r="H3" t="inlineStr">
        <is>
          <t>2026-01-12</t>
        </is>
      </c>
      <c r="I3" t="inlineStr">
        <is>
          <t>双周</t>
        </is>
      </c>
      <c r="J3" t="inlineStr">
        <is>
          <t>2026-01-06</t>
        </is>
      </c>
    </row>
    <row r="4">
      <c r="A4" t="n">
        <v>7</v>
      </c>
      <c r="B4">
        <f>'R007-相控阵数字样机软件质量保证计划'!F4</f>
        <v/>
      </c>
      <c r="C4">
        <f>'R007-相控阵数字样机软件质量保证计划'!B13</f>
        <v/>
      </c>
      <c r="D4" t="inlineStr">
        <is>
          <t>工作产品</t>
        </is>
      </c>
      <c r="E4">
        <f>'R007-相控阵数字样机软件质量保证计划'!C13</f>
        <v/>
      </c>
      <c r="F4">
        <f>'R007-相控阵数字样机软件质量保证计划'!F13</f>
        <v/>
      </c>
      <c r="G4" t="inlineStr">
        <is>
          <t>否</t>
        </is>
      </c>
      <c r="H4" t="inlineStr">
        <is>
          <t>2026-01-12</t>
        </is>
      </c>
      <c r="I4" t="inlineStr">
        <is>
          <t>双周</t>
        </is>
      </c>
      <c r="J4" t="inlineStr">
        <is>
          <t>2026-01-06</t>
        </is>
      </c>
    </row>
    <row r="5">
      <c r="A5" t="n">
        <v>7</v>
      </c>
      <c r="B5">
        <f>'R007-相控阵数字样机软件质量保证计划'!F4</f>
        <v/>
      </c>
      <c r="C5">
        <f>'R007-相控阵数字样机软件质量保证计划'!B14</f>
        <v/>
      </c>
      <c r="D5" t="inlineStr">
        <is>
          <t>工作产品</t>
        </is>
      </c>
      <c r="E5">
        <f>'R007-相控阵数字样机软件质量保证计划'!C14</f>
        <v/>
      </c>
      <c r="F5">
        <f>'R007-相控阵数字样机软件质量保证计划'!F14</f>
        <v/>
      </c>
      <c r="G5" t="inlineStr">
        <is>
          <t>否</t>
        </is>
      </c>
      <c r="H5" t="inlineStr">
        <is>
          <t>2026-01-12</t>
        </is>
      </c>
      <c r="I5" t="inlineStr">
        <is>
          <t>双周</t>
        </is>
      </c>
      <c r="J5" t="inlineStr">
        <is>
          <t>2026-01-06</t>
        </is>
      </c>
    </row>
    <row r="6">
      <c r="A6" t="n">
        <v>10</v>
      </c>
      <c r="B6">
        <f>'R010-审核项目监控过程-双周'!F4</f>
        <v/>
      </c>
      <c r="C6">
        <f>'R010-审核项目监控过程-双周'!B13</f>
        <v/>
      </c>
      <c r="D6" t="inlineStr">
        <is>
          <t>PMC</t>
        </is>
      </c>
      <c r="E6">
        <f>'R010-审核项目监控过程-双周'!C13</f>
        <v/>
      </c>
      <c r="F6">
        <f>'R010-审核项目监控过程-双周'!F13</f>
        <v/>
      </c>
      <c r="G6" t="inlineStr">
        <is>
          <t>否</t>
        </is>
      </c>
      <c r="H6" t="inlineStr">
        <is>
          <t>2026-01-12</t>
        </is>
      </c>
      <c r="I6" t="inlineStr">
        <is>
          <t>双周</t>
        </is>
      </c>
      <c r="J6" t="inlineStr">
        <is>
          <t>2026-01-12</t>
        </is>
      </c>
    </row>
    <row r="7">
      <c r="A7" t="n">
        <v>11</v>
      </c>
      <c r="B7">
        <f>'R011-审核测量与绩效管理过程-双周'!F4</f>
        <v/>
      </c>
      <c r="C7">
        <f>'R011-审核测量与绩效管理过程-双周'!B13</f>
        <v/>
      </c>
      <c r="D7" t="inlineStr">
        <is>
          <t>MPM</t>
        </is>
      </c>
      <c r="E7">
        <f>'R011-审核测量与绩效管理过程-双周'!C13</f>
        <v/>
      </c>
      <c r="F7">
        <f>'R011-审核测量与绩效管理过程-双周'!F13</f>
        <v/>
      </c>
      <c r="G7" t="inlineStr">
        <is>
          <t>否</t>
        </is>
      </c>
      <c r="H7" t="inlineStr">
        <is>
          <t>2026-01-12</t>
        </is>
      </c>
      <c r="I7" t="inlineStr">
        <is>
          <t>双周</t>
        </is>
      </c>
      <c r="J7" t="inlineStr">
        <is>
          <t>2026-01-12</t>
        </is>
      </c>
    </row>
    <row r="8">
      <c r="A8" t="n">
        <v>11</v>
      </c>
      <c r="B8">
        <f>'R011-审核测量与绩效管理过程-双周'!F4</f>
        <v/>
      </c>
      <c r="C8">
        <f>'R011-审核测量与绩效管理过程-双周'!B14</f>
        <v/>
      </c>
      <c r="D8" t="inlineStr">
        <is>
          <t>MPM</t>
        </is>
      </c>
      <c r="E8">
        <f>'R011-审核测量与绩效管理过程-双周'!C14</f>
        <v/>
      </c>
      <c r="F8">
        <f>'R011-审核测量与绩效管理过程-双周'!F14</f>
        <v/>
      </c>
      <c r="G8" t="inlineStr">
        <is>
          <t>否</t>
        </is>
      </c>
      <c r="H8" t="inlineStr">
        <is>
          <t>2026-01-12</t>
        </is>
      </c>
      <c r="I8" t="inlineStr">
        <is>
          <t>双周</t>
        </is>
      </c>
      <c r="J8" t="inlineStr">
        <is>
          <t>2026-01-12</t>
        </is>
      </c>
    </row>
    <row r="9">
      <c r="A9" t="n">
        <v>12</v>
      </c>
      <c r="B9">
        <f>'R012-相控阵数字样机软件需求规格说明'!F4</f>
        <v/>
      </c>
      <c r="C9">
        <f>'R012-相控阵数字样机软件需求规格说明'!B13</f>
        <v/>
      </c>
      <c r="D9" t="inlineStr">
        <is>
          <t>工作产品</t>
        </is>
      </c>
      <c r="E9">
        <f>'R012-相控阵数字样机软件需求规格说明'!C13</f>
        <v/>
      </c>
      <c r="F9">
        <f>'R012-相控阵数字样机软件需求规格说明'!F13</f>
        <v/>
      </c>
      <c r="G9" t="inlineStr">
        <is>
          <t>否</t>
        </is>
      </c>
      <c r="H9" t="inlineStr">
        <is>
          <t>2026-01-23</t>
        </is>
      </c>
      <c r="I9" t="inlineStr">
        <is>
          <t>阶段</t>
        </is>
      </c>
      <c r="J9" t="inlineStr">
        <is>
          <t>2026-01-15</t>
        </is>
      </c>
    </row>
    <row r="10">
      <c r="A10" t="n">
        <v>12</v>
      </c>
      <c r="B10">
        <f>'R012-相控阵数字样机软件需求规格说明'!F4</f>
        <v/>
      </c>
      <c r="C10">
        <f>'R012-相控阵数字样机软件需求规格说明'!B14</f>
        <v/>
      </c>
      <c r="D10" t="inlineStr">
        <is>
          <t>工作产品</t>
        </is>
      </c>
      <c r="E10">
        <f>'R012-相控阵数字样机软件需求规格说明'!C14</f>
        <v/>
      </c>
      <c r="F10">
        <f>'R012-相控阵数字样机软件需求规格说明'!F14</f>
        <v/>
      </c>
      <c r="G10" t="inlineStr">
        <is>
          <t>否</t>
        </is>
      </c>
      <c r="H10" t="inlineStr">
        <is>
          <t>2026-01-23</t>
        </is>
      </c>
      <c r="I10" t="inlineStr">
        <is>
          <t>阶段</t>
        </is>
      </c>
      <c r="J10" t="inlineStr">
        <is>
          <t>2026-01-15</t>
        </is>
      </c>
    </row>
    <row r="11">
      <c r="A11" t="n">
        <v>13</v>
      </c>
      <c r="B11">
        <f>'R013-相控阵数字样机软件测试计划'!F4</f>
        <v/>
      </c>
      <c r="C11">
        <f>'R013-相控阵数字样机软件测试计划'!B13</f>
        <v/>
      </c>
      <c r="D11" t="inlineStr">
        <is>
          <t>工作产品</t>
        </is>
      </c>
      <c r="E11">
        <f>'R013-相控阵数字样机软件测试计划'!C13</f>
        <v/>
      </c>
      <c r="F11">
        <f>'R013-相控阵数字样机软件测试计划'!F13</f>
        <v/>
      </c>
      <c r="G11" t="inlineStr">
        <is>
          <t>否</t>
        </is>
      </c>
      <c r="H11" t="inlineStr">
        <is>
          <t>2026-01-23</t>
        </is>
      </c>
      <c r="I11" t="inlineStr">
        <is>
          <t>阶段</t>
        </is>
      </c>
      <c r="J11" t="inlineStr">
        <is>
          <t>2026-01-21</t>
        </is>
      </c>
    </row>
    <row r="12">
      <c r="A12" t="n">
        <v>13</v>
      </c>
      <c r="B12">
        <f>'R013-相控阵数字样机软件测试计划'!F4</f>
        <v/>
      </c>
      <c r="C12">
        <f>'R013-相控阵数字样机软件测试计划'!B14</f>
        <v/>
      </c>
      <c r="D12" t="inlineStr">
        <is>
          <t>工作产品</t>
        </is>
      </c>
      <c r="E12">
        <f>'R013-相控阵数字样机软件测试计划'!C14</f>
        <v/>
      </c>
      <c r="F12">
        <f>'R013-相控阵数字样机软件测试计划'!F14</f>
        <v/>
      </c>
      <c r="G12" t="inlineStr">
        <is>
          <t>否</t>
        </is>
      </c>
      <c r="H12" t="inlineStr">
        <is>
          <t>2026-01-23</t>
        </is>
      </c>
      <c r="I12" t="inlineStr">
        <is>
          <t>阶段</t>
        </is>
      </c>
      <c r="J12" t="inlineStr">
        <is>
          <t>2026-01-21</t>
        </is>
      </c>
    </row>
    <row r="13">
      <c r="A13" t="n">
        <v>14</v>
      </c>
      <c r="B13">
        <f>'R014-审核验证与确认过程'!F4</f>
        <v/>
      </c>
      <c r="C13">
        <f>'R014-审核验证与确认过程'!B13</f>
        <v/>
      </c>
      <c r="D13" t="inlineStr">
        <is>
          <t>VV</t>
        </is>
      </c>
      <c r="E13">
        <f>'R014-审核验证与确认过程'!C13</f>
        <v/>
      </c>
      <c r="F13">
        <f>'R014-审核验证与确认过程'!F13</f>
        <v/>
      </c>
      <c r="G13" t="inlineStr">
        <is>
          <t>否</t>
        </is>
      </c>
      <c r="H13" t="inlineStr">
        <is>
          <t>2026-01-23</t>
        </is>
      </c>
      <c r="I13" t="inlineStr">
        <is>
          <t>阶段</t>
        </is>
      </c>
      <c r="J13" t="inlineStr">
        <is>
          <t>2026-01-23</t>
        </is>
      </c>
    </row>
    <row r="14">
      <c r="A14" t="n">
        <v>14</v>
      </c>
      <c r="B14">
        <f>'R014-审核验证与确认过程'!F4</f>
        <v/>
      </c>
      <c r="C14">
        <f>'R014-审核验证与确认过程'!B14</f>
        <v/>
      </c>
      <c r="D14" t="inlineStr">
        <is>
          <t>VV</t>
        </is>
      </c>
      <c r="E14">
        <f>'R014-审核验证与确认过程'!C14</f>
        <v/>
      </c>
      <c r="F14">
        <f>'R014-审核验证与确认过程'!F14</f>
        <v/>
      </c>
      <c r="G14" t="inlineStr">
        <is>
          <t>否</t>
        </is>
      </c>
      <c r="H14" t="inlineStr">
        <is>
          <t>2026-01-23</t>
        </is>
      </c>
      <c r="I14" t="inlineStr">
        <is>
          <t>阶段</t>
        </is>
      </c>
      <c r="J14" t="inlineStr">
        <is>
          <t>2026-01-23</t>
        </is>
      </c>
    </row>
    <row r="15">
      <c r="A15" t="n">
        <v>15</v>
      </c>
      <c r="B15">
        <f>'R015-审核需求开发与管理过程'!F4</f>
        <v/>
      </c>
      <c r="C15">
        <f>'R015-审核需求开发与管理过程'!B13</f>
        <v/>
      </c>
      <c r="D15" t="inlineStr">
        <is>
          <t>RDM</t>
        </is>
      </c>
      <c r="E15">
        <f>'R015-审核需求开发与管理过程'!C13</f>
        <v/>
      </c>
      <c r="F15">
        <f>'R015-审核需求开发与管理过程'!F13</f>
        <v/>
      </c>
      <c r="G15" t="inlineStr">
        <is>
          <t>否</t>
        </is>
      </c>
      <c r="H15" t="inlineStr">
        <is>
          <t>2026-01-23</t>
        </is>
      </c>
      <c r="I15" t="inlineStr">
        <is>
          <t>阶段</t>
        </is>
      </c>
      <c r="J15" t="inlineStr">
        <is>
          <t>2026-01-23</t>
        </is>
      </c>
    </row>
    <row r="16">
      <c r="A16" t="n">
        <v>15</v>
      </c>
      <c r="B16">
        <f>'R015-审核需求开发与管理过程'!F4</f>
        <v/>
      </c>
      <c r="C16">
        <f>'R015-审核需求开发与管理过程'!B14</f>
        <v/>
      </c>
      <c r="D16" t="inlineStr">
        <is>
          <t>RDM</t>
        </is>
      </c>
      <c r="E16">
        <f>'R015-审核需求开发与管理过程'!C14</f>
        <v/>
      </c>
      <c r="F16">
        <f>'R015-审核需求开发与管理过程'!F14</f>
        <v/>
      </c>
      <c r="G16" t="inlineStr">
        <is>
          <t>否</t>
        </is>
      </c>
      <c r="H16" t="inlineStr">
        <is>
          <t>2026-01-23</t>
        </is>
      </c>
      <c r="I16" t="inlineStr">
        <is>
          <t>阶段</t>
        </is>
      </c>
      <c r="J16" t="inlineStr">
        <is>
          <t>2026-01-23</t>
        </is>
      </c>
    </row>
    <row r="17">
      <c r="A17" t="n">
        <v>16</v>
      </c>
      <c r="B17">
        <f>'R016-审核配置管理过程-阶段'!F4</f>
        <v/>
      </c>
      <c r="C17">
        <f>'R016-审核配置管理过程-阶段'!B13</f>
        <v/>
      </c>
      <c r="D17" t="inlineStr">
        <is>
          <t>CM</t>
        </is>
      </c>
      <c r="E17">
        <f>'R016-审核配置管理过程-阶段'!C13</f>
        <v/>
      </c>
      <c r="F17">
        <f>'R016-审核配置管理过程-阶段'!F13</f>
        <v/>
      </c>
      <c r="G17" t="inlineStr">
        <is>
          <t>否</t>
        </is>
      </c>
      <c r="H17" t="inlineStr">
        <is>
          <t>2026-01-23</t>
        </is>
      </c>
      <c r="I17" t="inlineStr">
        <is>
          <t>阶段</t>
        </is>
      </c>
      <c r="J17" t="inlineStr">
        <is>
          <t>2026-01-23</t>
        </is>
      </c>
    </row>
    <row r="18">
      <c r="A18" t="n">
        <v>16</v>
      </c>
      <c r="B18">
        <f>'R016-审核配置管理过程-阶段'!F4</f>
        <v/>
      </c>
      <c r="C18">
        <f>'R016-审核配置管理过程-阶段'!B14</f>
        <v/>
      </c>
      <c r="D18" t="inlineStr">
        <is>
          <t>CM</t>
        </is>
      </c>
      <c r="E18">
        <f>'R016-审核配置管理过程-阶段'!C14</f>
        <v/>
      </c>
      <c r="F18">
        <f>'R016-审核配置管理过程-阶段'!F14</f>
        <v/>
      </c>
      <c r="G18" t="inlineStr">
        <is>
          <t>否</t>
        </is>
      </c>
      <c r="H18" t="inlineStr">
        <is>
          <t>2026-01-23</t>
        </is>
      </c>
      <c r="I18" t="inlineStr">
        <is>
          <t>阶段</t>
        </is>
      </c>
      <c r="J18" t="inlineStr">
        <is>
          <t>2026-01-23</t>
        </is>
      </c>
    </row>
    <row r="19">
      <c r="A19" t="n">
        <v>17</v>
      </c>
      <c r="B19">
        <f>'R017-审核项目监控过程-阶段'!F4</f>
        <v/>
      </c>
      <c r="C19">
        <f>'R017-审核项目监控过程-阶段'!B13</f>
        <v/>
      </c>
      <c r="D19" t="inlineStr">
        <is>
          <t>PMC</t>
        </is>
      </c>
      <c r="E19">
        <f>'R017-审核项目监控过程-阶段'!C13</f>
        <v/>
      </c>
      <c r="F19">
        <f>'R017-审核项目监控过程-阶段'!F13</f>
        <v/>
      </c>
      <c r="G19" t="inlineStr">
        <is>
          <t>否</t>
        </is>
      </c>
      <c r="H19" t="inlineStr">
        <is>
          <t>2026-01-23</t>
        </is>
      </c>
      <c r="I19" t="inlineStr">
        <is>
          <t>阶段</t>
        </is>
      </c>
      <c r="J19" t="inlineStr">
        <is>
          <t>2026-01-23</t>
        </is>
      </c>
    </row>
    <row r="20">
      <c r="A20" t="n">
        <v>17</v>
      </c>
      <c r="B20">
        <f>'R017-审核项目监控过程-阶段'!F4</f>
        <v/>
      </c>
      <c r="C20">
        <f>'R017-审核项目监控过程-阶段'!B14</f>
        <v/>
      </c>
      <c r="D20" t="inlineStr">
        <is>
          <t>PMC</t>
        </is>
      </c>
      <c r="E20">
        <f>'R017-审核项目监控过程-阶段'!C14</f>
        <v/>
      </c>
      <c r="F20">
        <f>'R017-审核项目监控过程-阶段'!F14</f>
        <v/>
      </c>
      <c r="G20" t="inlineStr">
        <is>
          <t>否</t>
        </is>
      </c>
      <c r="H20" t="inlineStr">
        <is>
          <t>2026-01-23</t>
        </is>
      </c>
      <c r="I20" t="inlineStr">
        <is>
          <t>阶段</t>
        </is>
      </c>
      <c r="J20" t="inlineStr">
        <is>
          <t>2026-01-23</t>
        </is>
      </c>
    </row>
    <row r="21">
      <c r="A21" t="n">
        <v>18</v>
      </c>
      <c r="B21">
        <f>'R018-审核测量与绩效管理过程-阶段'!F4</f>
        <v/>
      </c>
      <c r="C21">
        <f>'R018-审核测量与绩效管理过程-阶段'!B13</f>
        <v/>
      </c>
      <c r="D21" t="inlineStr">
        <is>
          <t>MPM</t>
        </is>
      </c>
      <c r="E21">
        <f>'R018-审核测量与绩效管理过程-阶段'!C13</f>
        <v/>
      </c>
      <c r="F21">
        <f>'R018-审核测量与绩效管理过程-阶段'!F13</f>
        <v/>
      </c>
      <c r="G21" t="inlineStr">
        <is>
          <t>否</t>
        </is>
      </c>
      <c r="H21" t="inlineStr">
        <is>
          <t>2026-01-23</t>
        </is>
      </c>
      <c r="I21" t="inlineStr">
        <is>
          <t>阶段</t>
        </is>
      </c>
      <c r="J21" t="inlineStr">
        <is>
          <t>2026-01-23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2026-08-21T05:38:08Z</dcterms:created>
  <dcterms:modified xmlns:dcterms="http://purl.org/dc/terms/" xmlns:xsi="http://www.w3.org/2001/XMLSchema-instance" xsi:type="dcterms:W3CDTF">2026-08-21T05:38:09Z</dcterms:modified>
</cp:coreProperties>
</file>