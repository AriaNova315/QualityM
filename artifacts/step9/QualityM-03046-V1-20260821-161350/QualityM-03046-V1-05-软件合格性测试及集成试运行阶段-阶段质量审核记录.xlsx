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39-相控阵数字样机软件测试说明" sheetId="3" state="visible" r:id="rId3"/>
    <sheet xmlns:r="http://schemas.openxmlformats.org/officeDocument/2006/relationships" name="R039-相控阵数字样机软件测试说明" sheetId="4" state="visible" r:id="rId4"/>
    <sheet xmlns:r="http://schemas.openxmlformats.org/officeDocument/2006/relationships" name="C040-审核项目策划" sheetId="5" state="visible" r:id="rId5"/>
    <sheet xmlns:r="http://schemas.openxmlformats.org/officeDocument/2006/relationships" name="R040-审核项目策划" sheetId="6" state="visible" r:id="rId6"/>
    <sheet xmlns:r="http://schemas.openxmlformats.org/officeDocument/2006/relationships" name="C041-相控阵数字样机软件用户手册" sheetId="7" state="visible" r:id="rId7"/>
    <sheet xmlns:r="http://schemas.openxmlformats.org/officeDocument/2006/relationships" name="R041-相控阵数字样机软件用户手册" sheetId="8" state="visible" r:id="rId8"/>
    <sheet xmlns:r="http://schemas.openxmlformats.org/officeDocument/2006/relationships" name="C042-相控阵数字样机软件测试报告" sheetId="9" state="visible" r:id="rId9"/>
    <sheet xmlns:r="http://schemas.openxmlformats.org/officeDocument/2006/relationships" name="R042-相控阵数字样机软件测试报告" sheetId="10" state="visible" r:id="rId10"/>
    <sheet xmlns:r="http://schemas.openxmlformats.org/officeDocument/2006/relationships" name="C043-审核验证与确认过程" sheetId="11" state="visible" r:id="rId11"/>
    <sheet xmlns:r="http://schemas.openxmlformats.org/officeDocument/2006/relationships" name="R043-审核验证与确认过程" sheetId="12" state="visible" r:id="rId12"/>
    <sheet xmlns:r="http://schemas.openxmlformats.org/officeDocument/2006/relationships" name="C044-审核需求开发与管理" sheetId="13" state="visible" r:id="rId13"/>
    <sheet xmlns:r="http://schemas.openxmlformats.org/officeDocument/2006/relationships" name="R044-审核需求开发与管理" sheetId="14" state="visible" r:id="rId14"/>
    <sheet xmlns:r="http://schemas.openxmlformats.org/officeDocument/2006/relationships" name="C045-审核配置管理过程-阶段" sheetId="15" state="visible" r:id="rId15"/>
    <sheet xmlns:r="http://schemas.openxmlformats.org/officeDocument/2006/relationships" name="R045-审核配置管理过程-阶段" sheetId="16" state="visible" r:id="rId16"/>
    <sheet xmlns:r="http://schemas.openxmlformats.org/officeDocument/2006/relationships" name="C046-审核项目监控过程-阶段" sheetId="17" state="visible" r:id="rId17"/>
    <sheet xmlns:r="http://schemas.openxmlformats.org/officeDocument/2006/relationships" name="R046-审核项目监控过程-阶段" sheetId="18" state="visible" r:id="rId18"/>
    <sheet xmlns:r="http://schemas.openxmlformats.org/officeDocument/2006/relationships" name="C047-审核测量与绩效管理-阶段" sheetId="19" state="visible" r:id="rId19"/>
    <sheet xmlns:r="http://schemas.openxmlformats.org/officeDocument/2006/relationships" name="R04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'阶段质量审核工作报告'!$A$1:$L$26</definedName>
    <definedName name="_xlnm.Print_Titles" localSheetId="2">'C039-相控阵数字样机软件测试说明'!$1:$6</definedName>
    <definedName name="_xlnm.Print_Area" localSheetId="2">'C039-相控阵数字样机软件测试说明'!$A$1:$L$21</definedName>
    <definedName name="_xlnm.Print_Titles" localSheetId="3">'R039-相控阵数字样机软件测试说明'!$1:$12</definedName>
    <definedName name="_xlnm.Print_Area" localSheetId="3">'R039-相控阵数字样机软件测试说明'!$B$1:$K$17</definedName>
    <definedName name="_xlnm.Print_Titles" localSheetId="4">'C040-审核项目策划'!$1:$6</definedName>
    <definedName name="_xlnm.Print_Area" localSheetId="4">'C040-审核项目策划'!$A$1:$L$37</definedName>
    <definedName name="_xlnm.Print_Titles" localSheetId="5">'R040-审核项目策划'!$1:$12</definedName>
    <definedName name="_xlnm.Print_Area" localSheetId="5">'R040-审核项目策划'!$B$1:$K$17</definedName>
    <definedName name="_xlnm.Print_Titles" localSheetId="6">'C041-相控阵数字样机软件用户手册'!$1:$6</definedName>
    <definedName name="_xlnm.Print_Area" localSheetId="6">'C041-相控阵数字样机软件用户手册'!$A$1:$L$31</definedName>
    <definedName name="_xlnm.Print_Titles" localSheetId="7">'R041-相控阵数字样机软件用户手册'!$1:$12</definedName>
    <definedName name="_xlnm.Print_Area" localSheetId="7">'R041-相控阵数字样机软件用户手册'!$B$1:$K$18</definedName>
    <definedName name="_xlnm.Print_Titles" localSheetId="8">'C042-相控阵数字样机软件测试报告'!$1:$6</definedName>
    <definedName name="_xlnm.Print_Area" localSheetId="8">'C042-相控阵数字样机软件测试报告'!$A$1:$L$20</definedName>
    <definedName name="_xlnm.Print_Titles" localSheetId="9">'R042-相控阵数字样机软件测试报告'!$1:$12</definedName>
    <definedName name="_xlnm.Print_Area" localSheetId="9">'R042-相控阵数字样机软件测试报告'!$B$1:$K$18</definedName>
    <definedName name="_xlnm.Print_Titles" localSheetId="10">'C043-审核验证与确认过程'!$1:$6</definedName>
    <definedName name="_xlnm.Print_Area" localSheetId="10">'C043-审核验证与确认过程'!$A$1:$L$38</definedName>
    <definedName name="_xlnm.Print_Titles" localSheetId="11">'R043-审核验证与确认过程'!$1:$12</definedName>
    <definedName name="_xlnm.Print_Area" localSheetId="11">'R043-审核验证与确认过程'!$B$1:$K$17</definedName>
    <definedName name="_xlnm.Print_Titles" localSheetId="12">'C044-审核需求开发与管理'!$1:$6</definedName>
    <definedName name="_xlnm.Print_Area" localSheetId="12">'C044-审核需求开发与管理'!$A$1:$L$41</definedName>
    <definedName name="_xlnm.Print_Titles" localSheetId="13">'R044-审核需求开发与管理'!$1:$12</definedName>
    <definedName name="_xlnm.Print_Area" localSheetId="13">'R044-审核需求开发与管理'!$B$1:$K$17</definedName>
    <definedName name="_xlnm.Print_Titles" localSheetId="14">'C045-审核配置管理过程-阶段'!$1:$6</definedName>
    <definedName name="_xlnm.Print_Area" localSheetId="14">'C045-审核配置管理过程-阶段'!$A$1:$L$34</definedName>
    <definedName name="_xlnm.Print_Titles" localSheetId="15">'R045-审核配置管理过程-阶段'!$1:$12</definedName>
    <definedName name="_xlnm.Print_Area" localSheetId="15">'R045-审核配置管理过程-阶段'!$B$1:$K$18</definedName>
    <definedName name="_xlnm.Print_Titles" localSheetId="16">'C046-审核项目监控过程-阶段'!$1:$6</definedName>
    <definedName name="_xlnm.Print_Area" localSheetId="16">'C046-审核项目监控过程-阶段'!$A$1:$L$45</definedName>
    <definedName name="_xlnm.Print_Titles" localSheetId="17">'R046-审核项目监控过程-阶段'!$1:$12</definedName>
    <definedName name="_xlnm.Print_Area" localSheetId="17">'R046-审核项目监控过程-阶段'!$B$1:$K$17</definedName>
    <definedName name="_xlnm.Print_Titles" localSheetId="18">'C047-审核测量与绩效管理-阶段'!$1:$6</definedName>
    <definedName name="_xlnm.Print_Area" localSheetId="18">'C047-审核测量与绩效管理-阶段'!$A$1:$L$26</definedName>
    <definedName name="_xlnm.Print_Titles" localSheetId="19">'R047-审核测量与绩效管理-阶段'!$1:$12</definedName>
    <definedName name="_xlnm.Print_Area" localSheetId="19">'R047-审核测量与绩效管理-阶段'!$B$1:$K$17</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39-&#30456;&#25511;&#38453;&#25968;&#23383;&#26679;&#26426;&#36719;&#20214;&#27979;&#35797;&#35828;&#26126;'!A1" TargetMode="External" Id="rId1"/><Relationship Type="http://schemas.openxmlformats.org/officeDocument/2006/relationships/hyperlink" Target="#'R039-&#30456;&#25511;&#38453;&#25968;&#23383;&#26679;&#26426;&#36719;&#20214;&#27979;&#35797;&#35828;&#26126;'!A1" TargetMode="External" Id="rId2"/><Relationship Type="http://schemas.openxmlformats.org/officeDocument/2006/relationships/hyperlink" Target="#'C040-&#23457;&#26680;&#39033;&#30446;&#31574;&#21010;'!A1" TargetMode="External" Id="rId3"/><Relationship Type="http://schemas.openxmlformats.org/officeDocument/2006/relationships/hyperlink" Target="#'R040-&#23457;&#26680;&#39033;&#30446;&#31574;&#21010;'!A1" TargetMode="External" Id="rId4"/><Relationship Type="http://schemas.openxmlformats.org/officeDocument/2006/relationships/hyperlink" Target="#'C041-&#30456;&#25511;&#38453;&#25968;&#23383;&#26679;&#26426;&#36719;&#20214;&#29992;&#25143;&#25163;&#20876;'!A1" TargetMode="External" Id="rId5"/><Relationship Type="http://schemas.openxmlformats.org/officeDocument/2006/relationships/hyperlink" Target="#'R041-&#30456;&#25511;&#38453;&#25968;&#23383;&#26679;&#26426;&#36719;&#20214;&#29992;&#25143;&#25163;&#20876;'!A1" TargetMode="External" Id="rId6"/><Relationship Type="http://schemas.openxmlformats.org/officeDocument/2006/relationships/hyperlink" Target="#'C042-&#30456;&#25511;&#38453;&#25968;&#23383;&#26679;&#26426;&#36719;&#20214;&#27979;&#35797;&#25253;&#21578;'!A1" TargetMode="External" Id="rId7"/><Relationship Type="http://schemas.openxmlformats.org/officeDocument/2006/relationships/hyperlink" Target="#'R042-&#30456;&#25511;&#38453;&#25968;&#23383;&#26679;&#26426;&#36719;&#20214;&#27979;&#35797;&#25253;&#21578;'!A1" TargetMode="External" Id="rId8"/><Relationship Type="http://schemas.openxmlformats.org/officeDocument/2006/relationships/hyperlink" Target="#'C043-&#23457;&#26680;&#39564;&#35777;&#19982;&#30830;&#35748;&#36807;&#31243;'!A1" TargetMode="External" Id="rId9"/><Relationship Type="http://schemas.openxmlformats.org/officeDocument/2006/relationships/hyperlink" Target="#'R043-&#23457;&#26680;&#39564;&#35777;&#19982;&#30830;&#35748;&#36807;&#31243;'!A1" TargetMode="External" Id="rId10"/><Relationship Type="http://schemas.openxmlformats.org/officeDocument/2006/relationships/hyperlink" Target="#'C044-&#23457;&#26680;&#38656;&#27714;&#24320;&#21457;&#19982;&#31649;&#29702;'!A1" TargetMode="External" Id="rId11"/><Relationship Type="http://schemas.openxmlformats.org/officeDocument/2006/relationships/hyperlink" Target="#'R044-&#23457;&#26680;&#38656;&#27714;&#24320;&#21457;&#19982;&#31649;&#29702;'!A1" TargetMode="External" Id="rId12"/><Relationship Type="http://schemas.openxmlformats.org/officeDocument/2006/relationships/hyperlink" Target="#'C045-&#23457;&#26680;&#37197;&#32622;&#31649;&#29702;&#36807;&#31243;-&#38454;&#27573;'!A1" TargetMode="External" Id="rId13"/><Relationship Type="http://schemas.openxmlformats.org/officeDocument/2006/relationships/hyperlink" Target="#'R045-&#23457;&#26680;&#37197;&#32622;&#31649;&#29702;&#36807;&#31243;-&#38454;&#27573;'!A1" TargetMode="External" Id="rId14"/><Relationship Type="http://schemas.openxmlformats.org/officeDocument/2006/relationships/hyperlink" Target="#'C046-&#23457;&#26680;&#39033;&#30446;&#30417;&#25511;&#36807;&#31243;-&#38454;&#27573;'!A1" TargetMode="External" Id="rId15"/><Relationship Type="http://schemas.openxmlformats.org/officeDocument/2006/relationships/hyperlink" Target="#'R046-&#23457;&#26680;&#39033;&#30446;&#30417;&#25511;&#36807;&#31243;-&#38454;&#27573;'!A1" TargetMode="External" Id="rId16"/><Relationship Type="http://schemas.openxmlformats.org/officeDocument/2006/relationships/hyperlink" Target="#'C047-&#23457;&#26680;&#27979;&#37327;&#19982;&#32489;&#25928;&#31649;&#29702;-&#38454;&#27573;'!A1" TargetMode="External" Id="rId17"/><Relationship Type="http://schemas.openxmlformats.org/officeDocument/2006/relationships/hyperlink" Target="#'R04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阶段：软件合格性测试及集成试运行阶段</t>
        </is>
      </c>
      <c r="D2" s="3" t="n"/>
    </row>
    <row r="4">
      <c r="A4" s="4" t="inlineStr">
        <is>
          <t>流水号</t>
        </is>
      </c>
      <c r="B4" s="4" t="inlineStr">
        <is>
          <t>审核对象</t>
        </is>
      </c>
      <c r="C4" s="4" t="inlineStr">
        <is>
          <t>检查单</t>
        </is>
      </c>
      <c r="D4" s="4" t="inlineStr">
        <is>
          <t>审核报告</t>
        </is>
      </c>
    </row>
    <row r="5" ht="18" customHeight="1">
      <c r="A5" s="3" t="n">
        <v>39</v>
      </c>
      <c r="B5" s="3" t="inlineStr">
        <is>
          <t>相控阵数字样机软件测试说明</t>
        </is>
      </c>
      <c r="C5" s="5" t="inlineStr">
        <is>
          <t>打开检查单</t>
        </is>
      </c>
      <c r="D5" s="5" t="inlineStr">
        <is>
          <t>打开审核报告</t>
        </is>
      </c>
    </row>
    <row r="6" ht="18" customHeight="1">
      <c r="A6" s="3" t="n">
        <v>40</v>
      </c>
      <c r="B6" s="3" t="inlineStr">
        <is>
          <t>审核项目策划</t>
        </is>
      </c>
      <c r="C6" s="5" t="inlineStr">
        <is>
          <t>打开检查单</t>
        </is>
      </c>
      <c r="D6" s="5" t="inlineStr">
        <is>
          <t>打开审核报告</t>
        </is>
      </c>
    </row>
    <row r="7" ht="18" customHeight="1">
      <c r="A7" s="3" t="n">
        <v>41</v>
      </c>
      <c r="B7" s="3" t="inlineStr">
        <is>
          <t>相控阵数字样机软件用户手册</t>
        </is>
      </c>
      <c r="C7" s="5" t="inlineStr">
        <is>
          <t>打开检查单</t>
        </is>
      </c>
      <c r="D7" s="5" t="inlineStr">
        <is>
          <t>打开审核报告</t>
        </is>
      </c>
    </row>
    <row r="8" ht="18" customHeight="1">
      <c r="A8" s="3" t="n">
        <v>42</v>
      </c>
      <c r="B8" s="3" t="inlineStr">
        <is>
          <t>相控阵数字样机软件测试报告</t>
        </is>
      </c>
      <c r="C8" s="5" t="inlineStr">
        <is>
          <t>打开检查单</t>
        </is>
      </c>
      <c r="D8" s="5" t="inlineStr">
        <is>
          <t>打开审核报告</t>
        </is>
      </c>
    </row>
    <row r="9" ht="18" customHeight="1">
      <c r="A9" s="3" t="n">
        <v>43</v>
      </c>
      <c r="B9" s="3" t="inlineStr">
        <is>
          <t>审核验证与确认过程</t>
        </is>
      </c>
      <c r="C9" s="5" t="inlineStr">
        <is>
          <t>打开检查单</t>
        </is>
      </c>
      <c r="D9" s="5" t="inlineStr">
        <is>
          <t>打开审核报告</t>
        </is>
      </c>
    </row>
    <row r="10" ht="18" customHeight="1">
      <c r="A10" s="3" t="n">
        <v>44</v>
      </c>
      <c r="B10" s="3" t="inlineStr">
        <is>
          <t>审核需求开发与管理</t>
        </is>
      </c>
      <c r="C10" s="5" t="inlineStr">
        <is>
          <t>打开检查单</t>
        </is>
      </c>
      <c r="D10" s="5" t="inlineStr">
        <is>
          <t>打开审核报告</t>
        </is>
      </c>
    </row>
    <row r="11" ht="18" customHeight="1">
      <c r="A11" s="3" t="n">
        <v>45</v>
      </c>
      <c r="B11" s="3" t="inlineStr">
        <is>
          <t>审核配置管理过程-阶段</t>
        </is>
      </c>
      <c r="C11" s="5" t="inlineStr">
        <is>
          <t>打开检查单</t>
        </is>
      </c>
      <c r="D11" s="5" t="inlineStr">
        <is>
          <t>打开审核报告</t>
        </is>
      </c>
    </row>
    <row r="12" ht="18" customHeight="1">
      <c r="A12" s="3" t="n">
        <v>46</v>
      </c>
      <c r="B12" s="3" t="inlineStr">
        <is>
          <t>审核项目监控过程-阶段</t>
        </is>
      </c>
      <c r="C12" s="5" t="inlineStr">
        <is>
          <t>打开检查单</t>
        </is>
      </c>
      <c r="D12" s="5" t="inlineStr">
        <is>
          <t>打开审核报告</t>
        </is>
      </c>
    </row>
    <row r="13" ht="18" customHeight="1">
      <c r="A13" s="3" t="n">
        <v>47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6"/>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软件合格性测试及集成试运行阶段</t>
        </is>
      </c>
      <c r="J3" s="3" t="n"/>
      <c r="K3" s="3" t="n"/>
      <c r="L3" s="3" t="n"/>
    </row>
    <row r="4">
      <c r="A4" s="4" t="inlineStr">
        <is>
          <t>报告起止日期</t>
        </is>
      </c>
      <c r="B4" s="4" t="n"/>
      <c r="C4" s="3" t="inlineStr">
        <is>
          <t>2026-03-12 至 2026-03-30</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阶段汇总：2026-03-30</t>
        </is>
      </c>
      <c r="B8" s="6" t="n"/>
      <c r="C8" s="6" t="n"/>
      <c r="D8" s="6" t="n"/>
      <c r="E8" s="6" t="n"/>
      <c r="F8" s="6" t="n"/>
      <c r="G8" s="6" t="n"/>
      <c r="H8" s="6" t="n"/>
      <c r="I8" s="6" t="n"/>
      <c r="J8" s="6" t="n"/>
      <c r="K8" s="6" t="n"/>
      <c r="L8" s="6" t="n"/>
    </row>
    <row r="9" ht="30" customHeight="1">
      <c r="A9" s="3" t="n">
        <v>39</v>
      </c>
      <c r="B9" s="3">
        <f>'_计算'!B2</f>
        <v/>
      </c>
      <c r="C9" s="3" t="inlineStr">
        <is>
          <t>2026-03-12</t>
        </is>
      </c>
      <c r="D9" s="3" t="inlineStr">
        <is>
          <t>阶段</t>
        </is>
      </c>
      <c r="E9" s="3">
        <f>'_计算'!D2</f>
        <v/>
      </c>
      <c r="F9" s="3">
        <f>'_计算'!E2</f>
        <v/>
      </c>
      <c r="G9" s="3" t="n"/>
      <c r="H9" s="3" t="n"/>
      <c r="I9" s="3" t="n"/>
      <c r="J9" s="3">
        <f>'_计算'!F2</f>
        <v/>
      </c>
      <c r="K9" s="3">
        <f>'_计算'!G2</f>
        <v/>
      </c>
      <c r="L9" s="3" t="inlineStr">
        <is>
          <t>未确认</t>
        </is>
      </c>
    </row>
    <row r="10" ht="18" customHeight="1">
      <c r="A10" s="3" t="n">
        <v>40</v>
      </c>
      <c r="B10" s="3" t="inlineStr">
        <is>
          <t>审核项目策划</t>
        </is>
      </c>
      <c r="C10" s="3" t="inlineStr">
        <is>
          <t>2026-03-13</t>
        </is>
      </c>
      <c r="D10" s="3" t="inlineStr">
        <is>
          <t>阶段</t>
        </is>
      </c>
      <c r="E10" s="3" t="n"/>
      <c r="F10" s="3" t="inlineStr">
        <is>
          <t>未发现不符合项</t>
        </is>
      </c>
      <c r="G10" s="3" t="n"/>
      <c r="H10" s="3" t="n"/>
      <c r="I10" s="3" t="n"/>
      <c r="J10" s="3" t="n"/>
      <c r="K10" s="3" t="n"/>
      <c r="L10" s="3" t="inlineStr">
        <is>
          <t>未确认</t>
        </is>
      </c>
    </row>
    <row r="11" ht="30" customHeight="1">
      <c r="A11" s="3" t="n">
        <v>41</v>
      </c>
      <c r="B11" s="3">
        <f>'_计算'!B3</f>
        <v/>
      </c>
      <c r="C11" s="3" t="inlineStr">
        <is>
          <t>2026-03-20</t>
        </is>
      </c>
      <c r="D11" s="3" t="inlineStr">
        <is>
          <t>阶段</t>
        </is>
      </c>
      <c r="E11" s="3">
        <f>'_计算'!D3</f>
        <v/>
      </c>
      <c r="F11" s="3">
        <f>'_计算'!E3</f>
        <v/>
      </c>
      <c r="G11" s="3" t="n"/>
      <c r="H11" s="3" t="n"/>
      <c r="I11" s="3" t="n"/>
      <c r="J11" s="3">
        <f>'_计算'!F3</f>
        <v/>
      </c>
      <c r="K11" s="3">
        <f>'_计算'!G3</f>
        <v/>
      </c>
      <c r="L11" s="3" t="inlineStr">
        <is>
          <t>未确认</t>
        </is>
      </c>
    </row>
    <row r="12" ht="30" customHeight="1">
      <c r="A12" s="3" t="n">
        <v>41</v>
      </c>
      <c r="B12" s="3">
        <f>'_计算'!B4</f>
        <v/>
      </c>
      <c r="C12" s="3" t="inlineStr">
        <is>
          <t>2026-03-20</t>
        </is>
      </c>
      <c r="D12" s="3" t="inlineStr">
        <is>
          <t>阶段</t>
        </is>
      </c>
      <c r="E12" s="3">
        <f>'_计算'!D4</f>
        <v/>
      </c>
      <c r="F12" s="3">
        <f>'_计算'!E4</f>
        <v/>
      </c>
      <c r="G12" s="3" t="n"/>
      <c r="H12" s="3" t="n"/>
      <c r="I12" s="3" t="n"/>
      <c r="J12" s="3">
        <f>'_计算'!F4</f>
        <v/>
      </c>
      <c r="K12" s="3">
        <f>'_计算'!G4</f>
        <v/>
      </c>
      <c r="L12" s="3" t="inlineStr">
        <is>
          <t>未确认</t>
        </is>
      </c>
    </row>
    <row r="13" ht="30" customHeight="1">
      <c r="A13" s="3" t="n">
        <v>42</v>
      </c>
      <c r="B13" s="3">
        <f>'_计算'!B5</f>
        <v/>
      </c>
      <c r="C13" s="3" t="inlineStr">
        <is>
          <t>2026-03-23</t>
        </is>
      </c>
      <c r="D13" s="3" t="inlineStr">
        <is>
          <t>阶段</t>
        </is>
      </c>
      <c r="E13" s="3">
        <f>'_计算'!D5</f>
        <v/>
      </c>
      <c r="F13" s="3">
        <f>'_计算'!E5</f>
        <v/>
      </c>
      <c r="G13" s="3" t="n"/>
      <c r="H13" s="3" t="n"/>
      <c r="I13" s="3" t="n"/>
      <c r="J13" s="3">
        <f>'_计算'!F5</f>
        <v/>
      </c>
      <c r="K13" s="3">
        <f>'_计算'!G5</f>
        <v/>
      </c>
      <c r="L13" s="3" t="inlineStr">
        <is>
          <t>未确认</t>
        </is>
      </c>
    </row>
    <row r="14" ht="30" customHeight="1">
      <c r="A14" s="3" t="n">
        <v>42</v>
      </c>
      <c r="B14" s="3">
        <f>'_计算'!B6</f>
        <v/>
      </c>
      <c r="C14" s="3" t="inlineStr">
        <is>
          <t>2026-03-23</t>
        </is>
      </c>
      <c r="D14" s="3" t="inlineStr">
        <is>
          <t>阶段</t>
        </is>
      </c>
      <c r="E14" s="3">
        <f>'_计算'!D6</f>
        <v/>
      </c>
      <c r="F14" s="3">
        <f>'_计算'!E6</f>
        <v/>
      </c>
      <c r="G14" s="3" t="n"/>
      <c r="H14" s="3" t="n"/>
      <c r="I14" s="3" t="n"/>
      <c r="J14" s="3">
        <f>'_计算'!F6</f>
        <v/>
      </c>
      <c r="K14" s="3">
        <f>'_计算'!G6</f>
        <v/>
      </c>
      <c r="L14" s="3" t="inlineStr">
        <is>
          <t>未确认</t>
        </is>
      </c>
    </row>
    <row r="15" ht="18" customHeight="1">
      <c r="A15" s="3" t="n">
        <v>43</v>
      </c>
      <c r="B15" s="3" t="inlineStr">
        <is>
          <t>审核验证与确认过程</t>
        </is>
      </c>
      <c r="C15" s="3" t="inlineStr">
        <is>
          <t>2026-03-30</t>
        </is>
      </c>
      <c r="D15" s="3" t="inlineStr">
        <is>
          <t>阶段</t>
        </is>
      </c>
      <c r="E15" s="3" t="n"/>
      <c r="F15" s="3" t="inlineStr">
        <is>
          <t>未发现不符合项</t>
        </is>
      </c>
      <c r="G15" s="3" t="n"/>
      <c r="H15" s="3" t="n"/>
      <c r="I15" s="3" t="n"/>
      <c r="J15" s="3" t="n"/>
      <c r="K15" s="3" t="n"/>
      <c r="L15" s="3" t="inlineStr">
        <is>
          <t>未确认</t>
        </is>
      </c>
    </row>
    <row r="16" ht="18" customHeight="1">
      <c r="A16" s="3" t="n">
        <v>44</v>
      </c>
      <c r="B16" s="3" t="inlineStr">
        <is>
          <t>审核需求开发与管理</t>
        </is>
      </c>
      <c r="C16" s="3" t="inlineStr">
        <is>
          <t>2026-03-30</t>
        </is>
      </c>
      <c r="D16" s="3" t="inlineStr">
        <is>
          <t>阶段</t>
        </is>
      </c>
      <c r="E16" s="3" t="n"/>
      <c r="F16" s="3" t="inlineStr">
        <is>
          <t>未发现不符合项</t>
        </is>
      </c>
      <c r="G16" s="3" t="n"/>
      <c r="H16" s="3" t="n"/>
      <c r="I16" s="3" t="n"/>
      <c r="J16" s="3" t="n"/>
      <c r="K16" s="3" t="n"/>
      <c r="L16" s="3" t="inlineStr">
        <is>
          <t>未确认</t>
        </is>
      </c>
    </row>
    <row r="17" ht="30" customHeight="1">
      <c r="A17" s="3" t="n">
        <v>45</v>
      </c>
      <c r="B17" s="3">
        <f>'_计算'!B7</f>
        <v/>
      </c>
      <c r="C17" s="3" t="inlineStr">
        <is>
          <t>2026-03-30</t>
        </is>
      </c>
      <c r="D17" s="3" t="inlineStr">
        <is>
          <t>阶段</t>
        </is>
      </c>
      <c r="E17" s="3">
        <f>'_计算'!D7</f>
        <v/>
      </c>
      <c r="F17" s="3">
        <f>'_计算'!E7</f>
        <v/>
      </c>
      <c r="G17" s="3" t="n"/>
      <c r="H17" s="3" t="n"/>
      <c r="I17" s="3" t="n"/>
      <c r="J17" s="3">
        <f>'_计算'!F7</f>
        <v/>
      </c>
      <c r="K17" s="3">
        <f>'_计算'!G7</f>
        <v/>
      </c>
      <c r="L17" s="3" t="inlineStr">
        <is>
          <t>未确认</t>
        </is>
      </c>
    </row>
    <row r="18" ht="30" customHeight="1">
      <c r="A18" s="3" t="n">
        <v>45</v>
      </c>
      <c r="B18" s="3">
        <f>'_计算'!B8</f>
        <v/>
      </c>
      <c r="C18" s="3" t="inlineStr">
        <is>
          <t>2026-03-30</t>
        </is>
      </c>
      <c r="D18" s="3" t="inlineStr">
        <is>
          <t>阶段</t>
        </is>
      </c>
      <c r="E18" s="3">
        <f>'_计算'!D8</f>
        <v/>
      </c>
      <c r="F18" s="3">
        <f>'_计算'!E8</f>
        <v/>
      </c>
      <c r="G18" s="3" t="n"/>
      <c r="H18" s="3" t="n"/>
      <c r="I18" s="3" t="n"/>
      <c r="J18" s="3">
        <f>'_计算'!F8</f>
        <v/>
      </c>
      <c r="K18" s="3">
        <f>'_计算'!G8</f>
        <v/>
      </c>
      <c r="L18" s="3" t="inlineStr">
        <is>
          <t>未确认</t>
        </is>
      </c>
    </row>
    <row r="19" ht="30" customHeight="1">
      <c r="A19" s="3" t="n">
        <v>46</v>
      </c>
      <c r="B19" s="3">
        <f>'_计算'!B9</f>
        <v/>
      </c>
      <c r="C19" s="3" t="inlineStr">
        <is>
          <t>2026-03-30</t>
        </is>
      </c>
      <c r="D19" s="3" t="inlineStr">
        <is>
          <t>阶段</t>
        </is>
      </c>
      <c r="E19" s="3">
        <f>'_计算'!D9</f>
        <v/>
      </c>
      <c r="F19" s="3">
        <f>'_计算'!E9</f>
        <v/>
      </c>
      <c r="G19" s="3" t="n"/>
      <c r="H19" s="3" t="n"/>
      <c r="I19" s="3" t="n"/>
      <c r="J19" s="3">
        <f>'_计算'!F9</f>
        <v/>
      </c>
      <c r="K19" s="3">
        <f>'_计算'!G9</f>
        <v/>
      </c>
      <c r="L19" s="3" t="inlineStr">
        <is>
          <t>未确认</t>
        </is>
      </c>
    </row>
    <row r="20" ht="30" customHeight="1">
      <c r="A20" s="3" t="n">
        <v>47</v>
      </c>
      <c r="B20" s="3">
        <f>'_计算'!B10</f>
        <v/>
      </c>
      <c r="C20" s="3" t="inlineStr">
        <is>
          <t>2026-03-30</t>
        </is>
      </c>
      <c r="D20" s="3" t="inlineStr">
        <is>
          <t>阶段</t>
        </is>
      </c>
      <c r="E20" s="3">
        <f>'_计算'!D10</f>
        <v/>
      </c>
      <c r="F20" s="3">
        <f>'_计算'!E10</f>
        <v/>
      </c>
      <c r="G20" s="3" t="n"/>
      <c r="H20" s="3" t="n"/>
      <c r="I20" s="3" t="n"/>
      <c r="J20" s="3">
        <f>'_计算'!F10</f>
        <v/>
      </c>
      <c r="K20" s="3">
        <f>'_计算'!G10</f>
        <v/>
      </c>
      <c r="L20" s="3" t="inlineStr">
        <is>
          <t>未确认</t>
        </is>
      </c>
    </row>
    <row r="21">
      <c r="A21" s="7" t="inlineStr">
        <is>
          <t>节点统计</t>
        </is>
      </c>
      <c r="B21" s="7" t="n"/>
      <c r="C21" s="7" t="n"/>
      <c r="D21" s="7" t="n"/>
      <c r="E21" s="7" t="inlineStr">
        <is>
          <t>NC总数</t>
        </is>
      </c>
      <c r="F21" s="7">
        <f>COUNTIF(J9:J20,"?*")</f>
        <v/>
      </c>
      <c r="G21" s="7" t="inlineStr">
        <is>
          <t>未关闭</t>
        </is>
      </c>
      <c r="H21" s="7">
        <f>COUNTIF(K9:K20,"否")</f>
        <v/>
      </c>
      <c r="I21" s="7" t="inlineStr">
        <is>
          <t>严重</t>
        </is>
      </c>
      <c r="J21" s="7">
        <f>COUNTIF(J9:J20,"严重")</f>
        <v/>
      </c>
      <c r="K21" s="7" t="n"/>
      <c r="L21" s="7" t="n"/>
    </row>
    <row r="23">
      <c r="A23" s="8" t="inlineStr">
        <is>
          <t>阶段汇总统计</t>
        </is>
      </c>
      <c r="B23" s="2" t="n"/>
      <c r="C23" s="2" t="n"/>
      <c r="D23" s="2" t="n"/>
      <c r="E23" s="2" t="n"/>
      <c r="F23" s="2" t="n"/>
      <c r="G23" s="2" t="n"/>
      <c r="H23" s="2" t="n"/>
      <c r="I23" s="2" t="n"/>
      <c r="J23" s="2" t="n"/>
      <c r="K23" s="2" t="n"/>
      <c r="L23" s="2" t="n"/>
    </row>
    <row r="24">
      <c r="A24" s="7" t="inlineStr">
        <is>
          <t>产品NC总数</t>
        </is>
      </c>
      <c r="B24" s="7">
        <f>COUNTIF('_计算'!D2:D10,"工作产品")</f>
        <v/>
      </c>
      <c r="C24" s="7" t="inlineStr">
        <is>
          <t>过程NC总数</t>
        </is>
      </c>
      <c r="D24" s="7">
        <f>COUNTIFS('_计算'!D2:D10,"&lt;&gt;工作产品",'_计算'!D2:D10,"&lt;&gt;")</f>
        <v/>
      </c>
      <c r="E24" s="7" t="inlineStr">
        <is>
          <t>未关闭NC数</t>
        </is>
      </c>
      <c r="F24" s="7">
        <f>COUNTIF('_计算'!G2:G10,"否")</f>
        <v/>
      </c>
      <c r="G24" s="7" t="inlineStr">
        <is>
          <t>轻微</t>
        </is>
      </c>
      <c r="H24" s="7">
        <f>COUNTIF('_计算'!F2:F10,"轻微")</f>
        <v/>
      </c>
      <c r="I24" s="7" t="inlineStr">
        <is>
          <t>一般</t>
        </is>
      </c>
      <c r="J24" s="7">
        <f>COUNTIF('_计算'!F2:F10,"一般")</f>
        <v/>
      </c>
      <c r="K24" s="7" t="inlineStr">
        <is>
          <t>严重</t>
        </is>
      </c>
      <c r="L24" s="7">
        <f>COUNTIF('_计算'!F2:F10,"严重")</f>
        <v/>
      </c>
    </row>
    <row r="25">
      <c r="A25" s="4" t="inlineStr">
        <is>
          <t>RDM</t>
        </is>
      </c>
      <c r="B25" s="4" t="inlineStr">
        <is>
          <t>PP</t>
        </is>
      </c>
      <c r="C25" s="4" t="inlineStr">
        <is>
          <t>PMC</t>
        </is>
      </c>
      <c r="D25" s="4" t="inlineStr">
        <is>
          <t>CM</t>
        </is>
      </c>
      <c r="E25" s="4" t="inlineStr">
        <is>
          <t>MT</t>
        </is>
      </c>
      <c r="F25" s="4" t="inlineStr">
        <is>
          <t>MPM</t>
        </is>
      </c>
      <c r="G25" s="4" t="inlineStr">
        <is>
          <t>VV</t>
        </is>
      </c>
      <c r="H25" s="4" t="inlineStr">
        <is>
          <t>II</t>
        </is>
      </c>
      <c r="I25" s="4" t="inlineStr">
        <is>
          <t>工作产品</t>
        </is>
      </c>
      <c r="J25" s="4" t="inlineStr">
        <is>
          <t>总计</t>
        </is>
      </c>
    </row>
    <row r="26">
      <c r="A26" s="4">
        <f>COUNTIF('_计算'!D2:D10,"RDM")</f>
        <v/>
      </c>
      <c r="B26" s="4">
        <f>COUNTIF('_计算'!D2:D10,"PP")</f>
        <v/>
      </c>
      <c r="C26" s="4">
        <f>COUNTIF('_计算'!D2:D10,"PMC")</f>
        <v/>
      </c>
      <c r="D26" s="4">
        <f>COUNTIF('_计算'!D2:D10,"CM")</f>
        <v/>
      </c>
      <c r="E26" s="4">
        <f>COUNTIF('_计算'!D2:D10,"MT")</f>
        <v/>
      </c>
      <c r="F26" s="4">
        <f>COUNTIF('_计算'!D2:D10,"MPM")</f>
        <v/>
      </c>
      <c r="G26" s="4">
        <f>COUNTIF('_计算'!D2:D10,"VV")</f>
        <v/>
      </c>
      <c r="H26" s="4">
        <f>COUNTIF('_计算'!D2:D10,"II")</f>
        <v/>
      </c>
      <c r="I26" s="4">
        <f>COUNTIF('_计算'!D2:D10,"工作产品")</f>
        <v/>
      </c>
      <c r="J26" s="4">
        <f>SUM(A26:I26)</f>
        <v/>
      </c>
    </row>
  </sheetData>
  <sheetProtection selectLockedCells="0" selectUnlockedCells="0" sheet="1" objects="0" insertRows="1" insertHyperlinks="1" autoFilter="1" scenarios="0" formatColumns="1" deleteColumns="1" insertColumns="1" pivotTables="1" deleteRows="1" formatCells="1" formatRows="1" sort="1"/>
  <mergeCells count="26">
    <mergeCell ref="F13:I13"/>
    <mergeCell ref="F9:I9"/>
    <mergeCell ref="I4:L4"/>
    <mergeCell ref="F14:I14"/>
    <mergeCell ref="A2:L2"/>
    <mergeCell ref="C3:F3"/>
    <mergeCell ref="F11:I11"/>
    <mergeCell ref="A23:L23"/>
    <mergeCell ref="A8:L8"/>
    <mergeCell ref="F16:I16"/>
    <mergeCell ref="F19:I19"/>
    <mergeCell ref="F10:I10"/>
    <mergeCell ref="A3:B3"/>
    <mergeCell ref="G3:H3"/>
    <mergeCell ref="C4:F4"/>
    <mergeCell ref="F12:I12"/>
    <mergeCell ref="F15:I15"/>
    <mergeCell ref="F20:I20"/>
    <mergeCell ref="A4:B4"/>
    <mergeCell ref="G4:H4"/>
    <mergeCell ref="F18:I18"/>
    <mergeCell ref="F17:I17"/>
    <mergeCell ref="I3:L3"/>
    <mergeCell ref="A1:L1"/>
    <mergeCell ref="A21:D2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软件测试说明检查单</t>
        </is>
      </c>
      <c r="B1" s="2" t="n"/>
      <c r="C1" s="2" t="n"/>
      <c r="D1" s="2" t="n"/>
      <c r="E1" s="2" t="n"/>
      <c r="F1" s="2" t="n"/>
      <c r="G1" s="2" t="n"/>
      <c r="H1" s="2" t="n"/>
      <c r="I1" s="2" t="n"/>
      <c r="J1" s="2" t="n"/>
      <c r="K1" s="2" t="n"/>
      <c r="L1" s="2" t="n"/>
    </row>
    <row r="2">
      <c r="A2" s="3" t="inlineStr">
        <is>
          <t>编号：ZDPX-03046/0.0-QA-检查单-039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相控阵数字样机软件测试说明</t>
        </is>
      </c>
      <c r="D4" s="3" t="n"/>
      <c r="E4" s="3" t="n"/>
      <c r="F4" s="4" t="inlineStr">
        <is>
          <t>产品标识</t>
        </is>
      </c>
      <c r="G4" s="4" t="n"/>
      <c r="H4" s="3" t="inlineStr">
        <is>
          <t>ZDPX03046/0.0-HCSM</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是否正确描述了本文档适用的测试级别（合格性测试、集成测试、单元测试）。</t>
        </is>
      </c>
      <c r="C9" s="3" t="n"/>
      <c r="D9" s="3" t="n"/>
      <c r="E9" s="3" t="n"/>
      <c r="F9" s="3" t="n"/>
      <c r="G9" s="3" t="inlineStr">
        <is>
          <t>✓</t>
        </is>
      </c>
      <c r="H9" s="3" t="n"/>
      <c r="I9" s="3" t="n"/>
      <c r="J9" s="3" t="inlineStr"/>
      <c r="K9" s="3" t="inlineStr"/>
      <c r="L9" s="3" t="n"/>
    </row>
    <row r="10" ht="18" customHeight="1">
      <c r="A10" s="3" t="inlineStr">
        <is>
          <t>3</t>
        </is>
      </c>
      <c r="B10" s="3" t="inlineStr">
        <is>
          <t>是否完整、准确描述了测试前需要作的硬件准备过程。</t>
        </is>
      </c>
      <c r="C10" s="3" t="n"/>
      <c r="D10" s="3" t="n"/>
      <c r="E10" s="3" t="n"/>
      <c r="F10" s="3" t="n"/>
      <c r="G10" s="3" t="inlineStr">
        <is>
          <t>✓</t>
        </is>
      </c>
      <c r="H10" s="3" t="n"/>
      <c r="I10" s="3" t="n"/>
      <c r="J10" s="3" t="inlineStr"/>
      <c r="K10" s="3" t="inlineStr"/>
      <c r="L10" s="3" t="n"/>
    </row>
    <row r="11" ht="18" customHeight="1">
      <c r="A11" s="3" t="inlineStr">
        <is>
          <t>4</t>
        </is>
      </c>
      <c r="B11" s="3" t="inlineStr">
        <is>
          <t>是否完整、准确描述了测试前需要作的软件准备过程，包括数据的准备等。</t>
        </is>
      </c>
      <c r="C11" s="3" t="n"/>
      <c r="D11" s="3" t="n"/>
      <c r="E11" s="3" t="n"/>
      <c r="F11" s="3" t="n"/>
      <c r="G11" s="3" t="inlineStr">
        <is>
          <t>✓</t>
        </is>
      </c>
      <c r="H11" s="3" t="n"/>
      <c r="I11" s="3" t="n"/>
      <c r="J11" s="3" t="inlineStr"/>
      <c r="K11" s="3" t="inlineStr"/>
      <c r="L11" s="3" t="n"/>
    </row>
    <row r="12" ht="18" customHeight="1">
      <c r="A12" s="3" t="inlineStr">
        <is>
          <t>5</t>
        </is>
      </c>
      <c r="B12" s="3" t="inlineStr">
        <is>
          <t>是否完整、准确描述了为了顺利实施测试所需要提前准备的数据。</t>
        </is>
      </c>
      <c r="C12" s="3" t="n"/>
      <c r="D12" s="3" t="n"/>
      <c r="E12" s="3" t="n"/>
      <c r="F12" s="3" t="n"/>
      <c r="G12" s="3" t="inlineStr">
        <is>
          <t>✓</t>
        </is>
      </c>
      <c r="H12" s="3" t="n"/>
      <c r="I12" s="3" t="n"/>
      <c r="J12" s="3" t="inlineStr"/>
      <c r="K12" s="3" t="inlineStr"/>
      <c r="L12" s="3" t="n"/>
    </row>
    <row r="13" ht="18" customHeight="1">
      <c r="A13" s="3" t="inlineStr">
        <is>
          <t>6</t>
        </is>
      </c>
      <c r="B13" s="3" t="inlineStr">
        <is>
          <t>是否准确描述所需的其它准备工作，如人员活动、安全与保密要求、必要的实施手续</t>
        </is>
      </c>
      <c r="C13" s="3" t="n"/>
      <c r="D13" s="3" t="n"/>
      <c r="E13" s="3" t="n"/>
      <c r="F13" s="3" t="n"/>
      <c r="G13" s="3" t="inlineStr">
        <is>
          <t>✓</t>
        </is>
      </c>
      <c r="H13" s="3" t="n"/>
      <c r="I13" s="3" t="n"/>
      <c r="J13" s="3" t="inlineStr"/>
      <c r="K13" s="3" t="inlineStr"/>
      <c r="L13" s="3" t="n"/>
    </row>
    <row r="14" ht="18" customHeight="1">
      <c r="A14" s="3" t="inlineStr">
        <is>
          <t>7</t>
        </is>
      </c>
      <c r="B14" s="3" t="inlineStr">
        <is>
          <t>是否正确描述了采用的测试方法且合理可行。</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是否完整、准确列出了功能、性能、接口对应的测试用例。</t>
        </is>
      </c>
      <c r="C15" s="3" t="n"/>
      <c r="D15" s="3" t="n"/>
      <c r="E15" s="3" t="n"/>
      <c r="F15" s="3" t="n"/>
      <c r="G15" s="3" t="inlineStr">
        <is>
          <t>✓</t>
        </is>
      </c>
      <c r="H15" s="3" t="n"/>
      <c r="I15" s="3" t="n"/>
      <c r="J15" s="3" t="inlineStr"/>
      <c r="K15" s="3" t="inlineStr"/>
      <c r="L15" s="3" t="n"/>
    </row>
    <row r="16" ht="18" customHeight="1">
      <c r="A16" s="3" t="inlineStr">
        <is>
          <t>9*</t>
        </is>
      </c>
      <c r="B16" s="3" t="inlineStr">
        <is>
          <t>是否每个测试用例对应一个详细的执行步骤记录。</t>
        </is>
      </c>
      <c r="C16" s="3" t="n"/>
      <c r="D16" s="3" t="n"/>
      <c r="E16" s="3" t="n"/>
      <c r="F16" s="3" t="n"/>
      <c r="G16" s="3" t="inlineStr">
        <is>
          <t>✓</t>
        </is>
      </c>
      <c r="H16" s="3" t="n"/>
      <c r="I16" s="3" t="n"/>
      <c r="J16" s="3" t="inlineStr"/>
      <c r="K16" s="3" t="inlineStr"/>
      <c r="L16" s="3" t="n"/>
    </row>
    <row r="17" ht="18" customHeight="1">
      <c r="A17" s="3" t="inlineStr">
        <is>
          <t>10</t>
        </is>
      </c>
      <c r="B17" s="3" t="inlineStr">
        <is>
          <t>是否完整、准确地列出需求与测试项之间的追踪关系。</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ht="30" customHeight="1">
      <c r="A21" s="3" t="n">
        <v>42</v>
      </c>
      <c r="B21" s="3" t="inlineStr">
        <is>
          <t>1</t>
        </is>
      </c>
      <c r="C21" s="3" t="inlineStr">
        <is>
          <t>相关工作产品未完整覆盖本检查项要求的必要内容和适用场景，当前结果不能支撑该项要求已经全部落实。</t>
        </is>
      </c>
      <c r="D21" s="3" t="n"/>
      <c r="E21" s="3" t="n"/>
      <c r="F21" s="3" t="inlineStr">
        <is>
          <t>一般</t>
        </is>
      </c>
      <c r="G21" s="3" t="inlineStr">
        <is>
          <t>赵要浦</t>
        </is>
      </c>
      <c r="H21" s="3" t="inlineStr">
        <is>
          <t>2026-03-12</t>
        </is>
      </c>
      <c r="I21" s="3" t="inlineStr">
        <is>
          <t>2026-03-13</t>
        </is>
      </c>
      <c r="J21" s="3" t="inlineStr">
        <is>
          <t>补齐遗漏内容和适用场景，核对相关输入后组织复核，并保留复核结论。</t>
        </is>
      </c>
      <c r="K21" s="3" t="n"/>
      <c r="L2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6">
    <mergeCell ref="K16:L16"/>
    <mergeCell ref="F4:G4"/>
    <mergeCell ref="A7:L7"/>
    <mergeCell ref="B16:F16"/>
    <mergeCell ref="K15:L15"/>
    <mergeCell ref="K9:L9"/>
    <mergeCell ref="H4:I4"/>
    <mergeCell ref="C21:E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J21:K21"/>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编号：ZDPX-03046/0.0-QA-审核报告-039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相控阵数字样机软件测试说明</t>
        </is>
      </c>
      <c r="G4" s="3" t="n"/>
      <c r="H4" s="3" t="n"/>
      <c r="I4" s="3" t="n"/>
      <c r="J4" s="3" t="n"/>
      <c r="K4" s="3" t="n"/>
    </row>
    <row r="5">
      <c r="B5" s="4" t="inlineStr">
        <is>
          <t>审核人</t>
        </is>
      </c>
      <c r="C5" s="4" t="n"/>
      <c r="D5" s="3" t="inlineStr">
        <is>
          <t>高蕾</t>
        </is>
      </c>
      <c r="E5" s="3" t="n"/>
      <c r="F5" s="4" t="inlineStr">
        <is>
          <t>审核日期</t>
        </is>
      </c>
      <c r="G5" s="4" t="n"/>
      <c r="H5" s="3" t="inlineStr">
        <is>
          <t>2026-03-12</t>
        </is>
      </c>
      <c r="I5" s="3" t="n"/>
      <c r="J5" s="3" t="n"/>
      <c r="K5" s="3" t="n"/>
    </row>
    <row r="6">
      <c r="B6" s="4" t="inlineStr">
        <is>
          <t>审核依据</t>
        </is>
      </c>
      <c r="C6" s="4" t="n"/>
      <c r="D6" s="3" t="inlineStr">
        <is>
          <t>ZDPX-03046/0.0-QA-检查单-039</t>
        </is>
      </c>
      <c r="E6" s="3" t="n"/>
      <c r="F6" s="3" t="n"/>
      <c r="G6" s="3" t="n"/>
      <c r="H6" s="3" t="n"/>
      <c r="I6" s="3" t="n"/>
      <c r="J6" s="3" t="n"/>
      <c r="K6" s="3" t="n"/>
    </row>
    <row r="7">
      <c r="B7" s="3" t="inlineStr">
        <is>
          <t>本次审核依据《软件测试说明检查单》实施。经审核，发现1个不符合项。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'C039-相控阵数字样机软件测试说明'!C21</f>
        <v/>
      </c>
      <c r="D13" s="3" t="n"/>
      <c r="E13" s="3" t="n"/>
      <c r="F13" s="3">
        <f>'C039-相控阵数字样机软件测试说明'!F21</f>
        <v/>
      </c>
      <c r="G13" s="3">
        <f>'C039-相控阵数字样机软件测试说明'!G21</f>
        <v/>
      </c>
      <c r="H13" s="3">
        <f>'C039-相控阵数字样机软件测试说明'!H21</f>
        <v/>
      </c>
      <c r="I13" s="3">
        <f>'C039-相控阵数字样机软件测试说明'!I21</f>
        <v/>
      </c>
      <c r="J13" s="3">
        <f>'C039-相控阵数字样机软件测试说明'!J21</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3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编号：ZDPX-03046/0.0-QA-检查单-040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审核项目策划</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inlineStr">
        <is>
          <t>✓</t>
        </is>
      </c>
      <c r="H9" s="3" t="n"/>
      <c r="I9" s="3" t="n"/>
      <c r="J9" s="3" t="inlineStr"/>
      <c r="K9" s="3" t="inlineStr"/>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inlineStr">
        <is>
          <t>✓</t>
        </is>
      </c>
      <c r="H12" s="3" t="n"/>
      <c r="I12" s="3" t="n"/>
      <c r="J12" s="3" t="inlineStr"/>
      <c r="K12" s="3" t="inlineStr"/>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c r="A37" s="3" t="inlineStr">
        <is>
          <t>本次审核未发现不符合项。</t>
        </is>
      </c>
      <c r="B37" s="3" t="n"/>
      <c r="C37" s="3" t="n"/>
      <c r="D37" s="3" t="n"/>
      <c r="E37" s="3" t="n"/>
      <c r="F37" s="3" t="n"/>
      <c r="G37" s="3" t="n"/>
      <c r="H37" s="3" t="n"/>
      <c r="I37" s="3" t="n"/>
      <c r="J37" s="3" t="n"/>
      <c r="K37" s="3" t="n"/>
      <c r="L37"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B16:F16"/>
    <mergeCell ref="K24:L24"/>
    <mergeCell ref="B25:F25"/>
    <mergeCell ref="K15:L15"/>
    <mergeCell ref="K33:L33"/>
    <mergeCell ref="A37:L37"/>
    <mergeCell ref="K9:L9"/>
    <mergeCell ref="B31:F31"/>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J4:K4"/>
    <mergeCell ref="B29:F29"/>
    <mergeCell ref="K12:L12"/>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审核项目策划</t>
        </is>
      </c>
      <c r="G4" s="3" t="n"/>
      <c r="H4" s="3" t="n"/>
      <c r="I4" s="3" t="n"/>
      <c r="J4" s="3" t="n"/>
      <c r="K4" s="3" t="n"/>
    </row>
    <row r="5">
      <c r="B5" s="4" t="inlineStr">
        <is>
          <t>审核人</t>
        </is>
      </c>
      <c r="C5" s="4" t="n"/>
      <c r="D5" s="3" t="inlineStr">
        <is>
          <t>高蕾</t>
        </is>
      </c>
      <c r="E5" s="3" t="n"/>
      <c r="F5" s="4" t="inlineStr">
        <is>
          <t>审核日期</t>
        </is>
      </c>
      <c r="G5" s="4" t="n"/>
      <c r="H5" s="3" t="inlineStr">
        <is>
          <t>2026-03-13</t>
        </is>
      </c>
      <c r="I5" s="3" t="n"/>
      <c r="J5" s="3" t="n"/>
      <c r="K5" s="3" t="n"/>
    </row>
    <row r="6">
      <c r="B6" s="4" t="inlineStr">
        <is>
          <t>审核依据</t>
        </is>
      </c>
      <c r="C6" s="4" t="n"/>
      <c r="D6" s="3" t="inlineStr">
        <is>
          <t>ZDPX-03046/0.0-QA-检查单-040</t>
        </is>
      </c>
      <c r="E6" s="3" t="n"/>
      <c r="F6" s="3" t="n"/>
      <c r="G6" s="3" t="n"/>
      <c r="H6" s="3" t="n"/>
      <c r="I6" s="3" t="n"/>
      <c r="J6" s="3" t="n"/>
      <c r="K6" s="3" t="n"/>
    </row>
    <row r="7">
      <c r="B7" s="3" t="inlineStr">
        <is>
          <t>本次审核依据《项目策划检查单》实施。经审核，未发现不符合项。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3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软件用户手册检查单</t>
        </is>
      </c>
      <c r="B1" s="2" t="n"/>
      <c r="C1" s="2" t="n"/>
      <c r="D1" s="2" t="n"/>
      <c r="E1" s="2" t="n"/>
      <c r="F1" s="2" t="n"/>
      <c r="G1" s="2" t="n"/>
      <c r="H1" s="2" t="n"/>
      <c r="I1" s="2" t="n"/>
      <c r="J1" s="2" t="n"/>
      <c r="K1" s="2" t="n"/>
      <c r="L1" s="2" t="n"/>
    </row>
    <row r="2">
      <c r="A2" s="3" t="inlineStr">
        <is>
          <t>编号：ZDPX-03046/0.0-QA-检查单-041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相控阵数字样机软件用户手册</t>
        </is>
      </c>
      <c r="D4" s="3" t="n"/>
      <c r="E4" s="3" t="n"/>
      <c r="F4" s="4" t="inlineStr">
        <is>
          <t>产品标识</t>
        </is>
      </c>
      <c r="G4" s="4" t="n"/>
      <c r="H4" s="3" t="inlineStr">
        <is>
          <t>ZDPX03046/0.0-RJSC</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是否符合相关模板的要求？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是否完整、正确描述了本软件可能的各种应用场景及其用途？</t>
        </is>
      </c>
      <c r="C9" s="3" t="n"/>
      <c r="D9" s="3" t="n"/>
      <c r="E9" s="3" t="n"/>
      <c r="F9" s="3" t="n"/>
      <c r="G9" s="3" t="inlineStr">
        <is>
          <t>✓</t>
        </is>
      </c>
      <c r="H9" s="3" t="n"/>
      <c r="I9" s="3" t="n"/>
      <c r="J9" s="3" t="inlineStr"/>
      <c r="K9" s="3" t="inlineStr"/>
      <c r="L9" s="3" t="n"/>
    </row>
    <row r="10" ht="30" customHeight="1">
      <c r="A10" s="3" t="inlineStr">
        <is>
          <t>3</t>
        </is>
      </c>
      <c r="B10" s="3" t="inlineStr">
        <is>
          <t>是否完整、正确地列出了使软件运行所需安装的所有软件文件（包括：软件文件的安全保密性要求和紧急处理说明等）？</t>
        </is>
      </c>
      <c r="C10" s="3" t="n"/>
      <c r="D10" s="3" t="n"/>
      <c r="E10" s="3" t="n"/>
      <c r="F10" s="3" t="n"/>
      <c r="G10" s="3" t="inlineStr">
        <is>
          <t>✓</t>
        </is>
      </c>
      <c r="H10" s="3" t="n"/>
      <c r="I10" s="3" t="n"/>
      <c r="J10" s="3" t="inlineStr"/>
      <c r="K10" s="3" t="inlineStr"/>
      <c r="L10" s="3" t="n"/>
    </row>
    <row r="11" ht="30" customHeight="1">
      <c r="A11" s="3" t="inlineStr">
        <is>
          <t>4</t>
        </is>
      </c>
      <c r="B11" s="3" t="inlineStr">
        <is>
          <t>是否完整、正确地描述了用户安装运行软件所需的硬件资源要求（包括：计算机类型、CPU、内存容量、硬盘容量、计算机网络设备等要求）？</t>
        </is>
      </c>
      <c r="C11" s="3" t="n"/>
      <c r="D11" s="3" t="n"/>
      <c r="E11" s="3" t="n"/>
      <c r="F11" s="3" t="n"/>
      <c r="G11" s="3" t="n"/>
      <c r="H11" s="3" t="inlineStr">
        <is>
          <t>✓</t>
        </is>
      </c>
      <c r="I11" s="3" t="n"/>
      <c r="J11" s="3" t="inlineStr">
        <is>
          <t>一般</t>
        </is>
      </c>
      <c r="K11" s="3" t="inlineStr">
        <is>
          <t>必要内容覆盖不完整</t>
        </is>
      </c>
      <c r="L11" s="3" t="n"/>
    </row>
    <row r="12" ht="30" customHeight="1">
      <c r="A12" s="3" t="inlineStr">
        <is>
          <t>5</t>
        </is>
      </c>
      <c r="B12" s="3" t="inlineStr">
        <is>
          <t>是否完整、正确描述了用户安装运行软件所需的软件资源要求（包括：操作系统、数据库、支持软件系统等）？</t>
        </is>
      </c>
      <c r="C12" s="3" t="n"/>
      <c r="D12" s="3" t="n"/>
      <c r="E12" s="3" t="n"/>
      <c r="F12" s="3" t="n"/>
      <c r="G12" s="3" t="inlineStr">
        <is>
          <t>✓</t>
        </is>
      </c>
      <c r="H12" s="3" t="n"/>
      <c r="I12" s="3" t="n"/>
      <c r="J12" s="3" t="inlineStr"/>
      <c r="K12" s="3" t="inlineStr"/>
      <c r="L12" s="3" t="n"/>
    </row>
    <row r="13" ht="30" customHeight="1">
      <c r="A13" s="3" t="inlineStr">
        <is>
          <t>6</t>
        </is>
      </c>
      <c r="B13" s="3" t="inlineStr">
        <is>
          <t>是否完整、正确说明了软件的逻辑部件组成及其用途和性能（如：输入输出数量和速率、响应或处理时间等）？</t>
        </is>
      </c>
      <c r="C13" s="3" t="n"/>
      <c r="D13" s="3" t="n"/>
      <c r="E13" s="3" t="n"/>
      <c r="F13" s="3" t="n"/>
      <c r="G13" s="3" t="inlineStr">
        <is>
          <t>✓</t>
        </is>
      </c>
      <c r="H13" s="3" t="n"/>
      <c r="I13" s="3" t="n"/>
      <c r="J13" s="3" t="inlineStr"/>
      <c r="K13" s="3" t="inlineStr"/>
      <c r="L13" s="3" t="n"/>
    </row>
    <row r="14" ht="18" customHeight="1">
      <c r="A14" s="3" t="inlineStr">
        <is>
          <t>7</t>
        </is>
      </c>
      <c r="B14" s="3" t="inlineStr">
        <is>
          <t>是否说明了软件在紧急情况或不同的运行状态和方式下需要用户采取的不同的处理措施？</t>
        </is>
      </c>
      <c r="C14" s="3" t="n"/>
      <c r="D14" s="3" t="n"/>
      <c r="E14" s="3" t="n"/>
      <c r="F14" s="3" t="n"/>
      <c r="G14" s="3" t="inlineStr">
        <is>
          <t>✓</t>
        </is>
      </c>
      <c r="H14" s="3" t="n"/>
      <c r="I14" s="3" t="n"/>
      <c r="J14" s="3" t="inlineStr"/>
      <c r="K14" s="3" t="inlineStr"/>
      <c r="L14" s="3" t="n"/>
    </row>
    <row r="15" ht="30" customHeight="1">
      <c r="A15" s="3" t="inlineStr">
        <is>
          <t>8</t>
        </is>
      </c>
      <c r="B15" s="3" t="inlineStr">
        <is>
          <t>是否完整、准确描述了使用软件的安全保密性要求（如：用户对非法制作和拷贝软件及其文档的行为的防护措施？</t>
        </is>
      </c>
      <c r="C15" s="3" t="n"/>
      <c r="D15" s="3" t="n"/>
      <c r="E15" s="3" t="n"/>
      <c r="F15" s="3" t="n"/>
      <c r="G15" s="3" t="inlineStr">
        <is>
          <t>✓</t>
        </is>
      </c>
      <c r="H15" s="3" t="n"/>
      <c r="I15" s="3" t="n"/>
      <c r="J15" s="3" t="inlineStr"/>
      <c r="K15" s="3" t="inlineStr"/>
      <c r="L15" s="3" t="n"/>
    </row>
    <row r="16" ht="18" customHeight="1">
      <c r="A16" s="3" t="inlineStr">
        <is>
          <t>9</t>
        </is>
      </c>
      <c r="B16" s="3" t="inlineStr">
        <is>
          <t>是否准确描述了用户在使用软件的过程中遇到问题时的联系方式和应办理的手续?</t>
        </is>
      </c>
      <c r="C16" s="3" t="n"/>
      <c r="D16" s="3" t="n"/>
      <c r="E16" s="3" t="n"/>
      <c r="F16" s="3" t="n"/>
      <c r="G16" s="3" t="inlineStr">
        <is>
          <t>✓</t>
        </is>
      </c>
      <c r="H16" s="3" t="n"/>
      <c r="I16" s="3" t="n"/>
      <c r="J16" s="3" t="inlineStr"/>
      <c r="K16" s="3" t="inlineStr"/>
      <c r="L16" s="3" t="n"/>
    </row>
    <row r="17" ht="18" customHeight="1">
      <c r="A17" s="3" t="inlineStr">
        <is>
          <t>10</t>
        </is>
      </c>
      <c r="B17" s="3" t="inlineStr">
        <is>
          <t>是否描述了在计算机中安装软件和配置运行参数的过程。</t>
        </is>
      </c>
      <c r="C17" s="3" t="n"/>
      <c r="D17" s="3" t="n"/>
      <c r="E17" s="3" t="n"/>
      <c r="F17" s="3" t="n"/>
      <c r="G17" s="3" t="inlineStr">
        <is>
          <t>✓</t>
        </is>
      </c>
      <c r="H17" s="3" t="n"/>
      <c r="I17" s="3" t="n"/>
      <c r="J17" s="3" t="inlineStr"/>
      <c r="K17" s="3" t="inlineStr"/>
      <c r="L17" s="3" t="n"/>
    </row>
    <row r="18" ht="18" customHeight="1">
      <c r="A18" s="3" t="inlineStr">
        <is>
          <t>11</t>
        </is>
      </c>
      <c r="B18" s="3" t="inlineStr">
        <is>
          <t>是否描述了软件启动的过程（包括所有可用的选项和遇到问题时的处理方法等）。</t>
        </is>
      </c>
      <c r="C18" s="3" t="n"/>
      <c r="D18" s="3" t="n"/>
      <c r="E18" s="3" t="n"/>
      <c r="F18" s="3" t="n"/>
      <c r="G18" s="3" t="n"/>
      <c r="H18" s="3" t="inlineStr">
        <is>
          <t>✓</t>
        </is>
      </c>
      <c r="I18" s="3" t="n"/>
      <c r="J18" s="3" t="inlineStr">
        <is>
          <t>一般</t>
        </is>
      </c>
      <c r="K18" s="3" t="inlineStr">
        <is>
          <t>必要内容覆盖不完整</t>
        </is>
      </c>
      <c r="L18" s="3" t="n"/>
    </row>
    <row r="19" ht="18" customHeight="1">
      <c r="A19" s="3" t="inlineStr">
        <is>
          <t>12</t>
        </is>
      </c>
      <c r="B19" s="3" t="inlineStr">
        <is>
          <t>是否描述了用户中断和停止软件运行的方法。</t>
        </is>
      </c>
      <c r="C19" s="3" t="n"/>
      <c r="D19" s="3" t="n"/>
      <c r="E19" s="3" t="n"/>
      <c r="F19" s="3" t="n"/>
      <c r="G19" s="3" t="inlineStr">
        <is>
          <t>✓</t>
        </is>
      </c>
      <c r="H19" s="3" t="n"/>
      <c r="I19" s="3" t="n"/>
      <c r="J19" s="3" t="inlineStr"/>
      <c r="K19" s="3" t="inlineStr"/>
      <c r="L19" s="3" t="n"/>
    </row>
    <row r="20" ht="30" customHeight="1">
      <c r="A20" s="3" t="inlineStr">
        <is>
          <t>13</t>
        </is>
      </c>
      <c r="B20" s="3" t="inlineStr">
        <is>
          <t>是否完整、准确说明了软件所使用的各种约定（如，人机界面元素的颜色、告警声音和缩略语等）。</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是否完整、准确说明了软件各项功能所使用的人机界面元素（如菜单、按钮、图标等）操作顺序和过程。</t>
        </is>
      </c>
      <c r="C21" s="3" t="n"/>
      <c r="D21" s="3" t="n"/>
      <c r="E21" s="3" t="n"/>
      <c r="F21" s="3" t="n"/>
      <c r="G21" s="3" t="inlineStr">
        <is>
          <t>✓</t>
        </is>
      </c>
      <c r="H21" s="3" t="n"/>
      <c r="I21" s="3" t="n"/>
      <c r="J21" s="3" t="inlineStr"/>
      <c r="K21" s="3" t="inlineStr"/>
      <c r="L21" s="3" t="n"/>
    </row>
    <row r="22" ht="18" customHeight="1">
      <c r="A22" s="3" t="inlineStr">
        <is>
          <t>15</t>
        </is>
      </c>
      <c r="B22" s="3" t="inlineStr">
        <is>
          <t>是否完整、准确描述了软件运行时所进行的批处理、脱机处理或后台处理。</t>
        </is>
      </c>
      <c r="C22" s="3" t="n"/>
      <c r="D22" s="3" t="n"/>
      <c r="E22" s="3" t="n"/>
      <c r="F22" s="3" t="n"/>
      <c r="G22" s="3" t="inlineStr">
        <is>
          <t>✓</t>
        </is>
      </c>
      <c r="H22" s="3" t="n"/>
      <c r="I22" s="3" t="n"/>
      <c r="J22" s="3" t="inlineStr"/>
      <c r="K22" s="3" t="inlineStr"/>
      <c r="L22" s="3" t="n"/>
    </row>
    <row r="23" ht="18" customHeight="1">
      <c r="A23" s="3" t="inlineStr">
        <is>
          <t>16</t>
        </is>
      </c>
      <c r="B23" s="3" t="inlineStr">
        <is>
          <t>是否完整、准确描述了创建和保存软件运行所需的备份数据的方法。</t>
        </is>
      </c>
      <c r="C23" s="3" t="n"/>
      <c r="D23" s="3" t="n"/>
      <c r="E23" s="3" t="n"/>
      <c r="F23" s="3" t="n"/>
      <c r="G23" s="3" t="inlineStr">
        <is>
          <t>✓</t>
        </is>
      </c>
      <c r="H23" s="3" t="n"/>
      <c r="I23" s="3" t="n"/>
      <c r="J23" s="3" t="inlineStr"/>
      <c r="K23" s="3" t="inlineStr"/>
      <c r="L23" s="3" t="n"/>
    </row>
    <row r="24" ht="30" customHeight="1">
      <c r="A24" s="3" t="inlineStr">
        <is>
          <t>17</t>
        </is>
      </c>
      <c r="B24" s="3" t="inlineStr">
        <is>
          <t>是否描述了当软件运行时出现错误、误动作时，用户重新启动或恢复运行软件的方法和详细步骤。</t>
        </is>
      </c>
      <c r="C24" s="3" t="n"/>
      <c r="D24" s="3" t="n"/>
      <c r="E24" s="3" t="n"/>
      <c r="F24" s="3" t="n"/>
      <c r="G24" s="3" t="inlineStr">
        <is>
          <t>✓</t>
        </is>
      </c>
      <c r="H24" s="3" t="n"/>
      <c r="I24" s="3" t="n"/>
      <c r="J24" s="3" t="inlineStr"/>
      <c r="K24" s="3" t="inlineStr"/>
      <c r="L24" s="3" t="n"/>
    </row>
    <row r="25" ht="30" customHeight="1">
      <c r="A25" s="3" t="inlineStr">
        <is>
          <t>18</t>
        </is>
      </c>
      <c r="B25" s="3" t="inlineStr">
        <is>
          <t>是否完整、准确列出了软件运行时可能发生的所有错误信息、诊断信息和提示消息，且说明了其含义和采取的措施。</t>
        </is>
      </c>
      <c r="C25" s="3" t="n"/>
      <c r="D25" s="3" t="n"/>
      <c r="E25" s="3" t="n"/>
      <c r="F25" s="3" t="n"/>
      <c r="G25" s="3" t="inlineStr">
        <is>
          <t>✓</t>
        </is>
      </c>
      <c r="H25" s="3" t="n"/>
      <c r="I25" s="3" t="n"/>
      <c r="J25" s="3" t="inlineStr"/>
      <c r="K25" s="3" t="inlineStr"/>
      <c r="L25" s="3" t="n"/>
    </row>
    <row r="26" ht="18" customHeight="1">
      <c r="A26" s="3" t="inlineStr">
        <is>
          <t>19</t>
        </is>
      </c>
      <c r="B26" s="3" t="inlineStr">
        <is>
          <t>是否说明软件运行故障的诊断方法。</t>
        </is>
      </c>
      <c r="C26" s="3" t="n"/>
      <c r="D26" s="3" t="n"/>
      <c r="E26" s="3" t="n"/>
      <c r="F26" s="3" t="n"/>
      <c r="G26" s="3" t="inlineStr">
        <is>
          <t>✓</t>
        </is>
      </c>
      <c r="H26" s="3" t="n"/>
      <c r="I26" s="3" t="n"/>
      <c r="J26" s="3" t="inlineStr"/>
      <c r="K26" s="3" t="inlineStr"/>
      <c r="L26" s="3" t="n"/>
    </row>
    <row r="28">
      <c r="A28" s="7" t="inlineStr">
        <is>
          <t>不符合项问题明细</t>
        </is>
      </c>
      <c r="B28" s="7" t="n"/>
      <c r="C28" s="7" t="n"/>
      <c r="D28" s="7" t="n"/>
      <c r="E28" s="7" t="n"/>
      <c r="F28" s="7" t="n"/>
      <c r="G28" s="7" t="n"/>
      <c r="H28" s="7" t="n"/>
      <c r="I28" s="7" t="n"/>
      <c r="J28" s="7" t="n"/>
      <c r="K28" s="7" t="n"/>
      <c r="L28" s="7" t="n"/>
    </row>
    <row r="29">
      <c r="A29" s="4" t="inlineStr">
        <is>
          <t>问题ID</t>
        </is>
      </c>
      <c r="B29" s="4" t="inlineStr">
        <is>
          <t>检查项</t>
        </is>
      </c>
      <c r="C29" s="4" t="inlineStr">
        <is>
          <t>问题描述</t>
        </is>
      </c>
      <c r="D29" s="4" t="inlineStr"/>
      <c r="E29" s="4" t="inlineStr"/>
      <c r="F29" s="4" t="inlineStr">
        <is>
          <t>严重程度</t>
        </is>
      </c>
      <c r="G29" s="4" t="inlineStr">
        <is>
          <t>责任人</t>
        </is>
      </c>
      <c r="H29" s="4" t="inlineStr">
        <is>
          <t>提交日期</t>
        </is>
      </c>
      <c r="I29" s="4" t="inlineStr">
        <is>
          <t>计划关闭日期</t>
        </is>
      </c>
      <c r="J29" s="4" t="inlineStr">
        <is>
          <t>纠正措施</t>
        </is>
      </c>
      <c r="K29" s="4" t="inlineStr"/>
      <c r="L29" s="4" t="inlineStr">
        <is>
          <t>关闭</t>
        </is>
      </c>
    </row>
    <row r="30" ht="30" customHeight="1">
      <c r="A30" s="3" t="n">
        <v>43</v>
      </c>
      <c r="B30" s="3" t="inlineStr">
        <is>
          <t>4</t>
        </is>
      </c>
      <c r="C30" s="3" t="inlineStr">
        <is>
          <t>相关工作产品未完整覆盖本检查项要求的必要内容和适用场景，当前结果不能支撑该项要求已经全部落实。</t>
        </is>
      </c>
      <c r="D30" s="3" t="n"/>
      <c r="E30" s="3" t="n"/>
      <c r="F30" s="3" t="inlineStr">
        <is>
          <t>一般</t>
        </is>
      </c>
      <c r="G30" s="3" t="inlineStr">
        <is>
          <t>赵要浦</t>
        </is>
      </c>
      <c r="H30" s="3" t="inlineStr">
        <is>
          <t>2026-03-20</t>
        </is>
      </c>
      <c r="I30" s="3" t="inlineStr">
        <is>
          <t>2026-03-23</t>
        </is>
      </c>
      <c r="J30" s="3" t="inlineStr">
        <is>
          <t>补齐遗漏内容和适用场景，核对相关输入后组织复核，并保留复核结论。</t>
        </is>
      </c>
      <c r="K30" s="3" t="n"/>
      <c r="L30" s="3" t="inlineStr">
        <is>
          <t>否</t>
        </is>
      </c>
    </row>
    <row r="31" ht="30" customHeight="1">
      <c r="A31" s="3" t="n">
        <v>44</v>
      </c>
      <c r="B31" s="3" t="inlineStr">
        <is>
          <t>11</t>
        </is>
      </c>
      <c r="C31" s="3" t="inlineStr">
        <is>
          <t>相关工作产品未完整覆盖本检查项要求的必要内容和适用场景，当前结果不能支撑该项要求已经全部落实。</t>
        </is>
      </c>
      <c r="D31" s="3" t="n"/>
      <c r="E31" s="3" t="n"/>
      <c r="F31" s="3" t="inlineStr">
        <is>
          <t>一般</t>
        </is>
      </c>
      <c r="G31" s="3" t="inlineStr">
        <is>
          <t>赵要浦</t>
        </is>
      </c>
      <c r="H31" s="3" t="inlineStr">
        <is>
          <t>2026-03-20</t>
        </is>
      </c>
      <c r="I31" s="3" t="inlineStr">
        <is>
          <t>2026-03-23</t>
        </is>
      </c>
      <c r="J31" s="3" t="inlineStr">
        <is>
          <t>补齐遗漏内容和适用场景，核对相关输入后组织复核，并保留复核结论。</t>
        </is>
      </c>
      <c r="K31" s="3" t="n"/>
      <c r="L31"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56">
    <mergeCell ref="K16:L16"/>
    <mergeCell ref="F4:G4"/>
    <mergeCell ref="K25:L25"/>
    <mergeCell ref="A7:L7"/>
    <mergeCell ref="B16:F16"/>
    <mergeCell ref="K24:L24"/>
    <mergeCell ref="C31:E31"/>
    <mergeCell ref="B25:F25"/>
    <mergeCell ref="K15:L15"/>
    <mergeCell ref="K9:L9"/>
    <mergeCell ref="H4:I4"/>
    <mergeCell ref="B22:F22"/>
    <mergeCell ref="B18:F18"/>
    <mergeCell ref="K26:L26"/>
    <mergeCell ref="K21:L21"/>
    <mergeCell ref="F3:G3"/>
    <mergeCell ref="B21:F21"/>
    <mergeCell ref="A2:L2"/>
    <mergeCell ref="B12:F12"/>
    <mergeCell ref="K11:L11"/>
    <mergeCell ref="K20:L20"/>
    <mergeCell ref="J30:K30"/>
    <mergeCell ref="B11:F11"/>
    <mergeCell ref="B23:F23"/>
    <mergeCell ref="B8:F8"/>
    <mergeCell ref="B14:F14"/>
    <mergeCell ref="K22:L22"/>
    <mergeCell ref="A3:B3"/>
    <mergeCell ref="B17:F17"/>
    <mergeCell ref="B13:F13"/>
    <mergeCell ref="J4:K4"/>
    <mergeCell ref="K12:L12"/>
    <mergeCell ref="K8:L8"/>
    <mergeCell ref="B10:F10"/>
    <mergeCell ref="A28:L28"/>
    <mergeCell ref="B19:F19"/>
    <mergeCell ref="C3:E3"/>
    <mergeCell ref="J31:K31"/>
    <mergeCell ref="K23:L23"/>
    <mergeCell ref="B26:F26"/>
    <mergeCell ref="C30:E30"/>
    <mergeCell ref="K14:L14"/>
    <mergeCell ref="B9:F9"/>
    <mergeCell ref="K17:L17"/>
    <mergeCell ref="H3:I3"/>
    <mergeCell ref="A4:B4"/>
    <mergeCell ref="J3:K3"/>
    <mergeCell ref="B24:F24"/>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相控阵数字样机软件用户手册</t>
        </is>
      </c>
      <c r="G4" s="3" t="n"/>
      <c r="H4" s="3" t="n"/>
      <c r="I4" s="3" t="n"/>
      <c r="J4" s="3" t="n"/>
      <c r="K4" s="3" t="n"/>
    </row>
    <row r="5">
      <c r="B5" s="4" t="inlineStr">
        <is>
          <t>审核人</t>
        </is>
      </c>
      <c r="C5" s="4" t="n"/>
      <c r="D5" s="3" t="inlineStr">
        <is>
          <t>高蕾</t>
        </is>
      </c>
      <c r="E5" s="3" t="n"/>
      <c r="F5" s="4" t="inlineStr">
        <is>
          <t>审核日期</t>
        </is>
      </c>
      <c r="G5" s="4" t="n"/>
      <c r="H5" s="3" t="inlineStr">
        <is>
          <t>2026-03-20</t>
        </is>
      </c>
      <c r="I5" s="3" t="n"/>
      <c r="J5" s="3" t="n"/>
      <c r="K5" s="3" t="n"/>
    </row>
    <row r="6">
      <c r="B6" s="4" t="inlineStr">
        <is>
          <t>审核依据</t>
        </is>
      </c>
      <c r="C6" s="4" t="n"/>
      <c r="D6" s="3" t="inlineStr">
        <is>
          <t>ZDPX-03046/0.0-QA-检查单-041</t>
        </is>
      </c>
      <c r="E6" s="3" t="n"/>
      <c r="F6" s="3" t="n"/>
      <c r="G6" s="3" t="n"/>
      <c r="H6" s="3" t="n"/>
      <c r="I6" s="3" t="n"/>
      <c r="J6" s="3" t="n"/>
      <c r="K6" s="3" t="n"/>
    </row>
    <row r="7">
      <c r="B7" s="3" t="inlineStr">
        <is>
          <t>本次审核依据《软件用户手册检查单》实施。经审核，发现2个不符合项。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'C041-相控阵数字样机软件用户手册'!C30</f>
        <v/>
      </c>
      <c r="D13" s="3" t="n"/>
      <c r="E13" s="3" t="n"/>
      <c r="F13" s="3">
        <f>'C041-相控阵数字样机软件用户手册'!F30</f>
        <v/>
      </c>
      <c r="G13" s="3">
        <f>'C041-相控阵数字样机软件用户手册'!G30</f>
        <v/>
      </c>
      <c r="H13" s="3">
        <f>'C041-相控阵数字样机软件用户手册'!H30</f>
        <v/>
      </c>
      <c r="I13" s="3">
        <f>'C041-相控阵数字样机软件用户手册'!I30</f>
        <v/>
      </c>
      <c r="J13" s="3">
        <f>'C041-相控阵数字样机软件用户手册'!J30</f>
        <v/>
      </c>
      <c r="K13" s="3" t="n"/>
    </row>
    <row r="14" ht="30" customHeight="1">
      <c r="B14" s="3" t="n">
        <v>2</v>
      </c>
      <c r="C14" s="3">
        <f>'C041-相控阵数字样机软件用户手册'!C31</f>
        <v/>
      </c>
      <c r="D14" s="3" t="n"/>
      <c r="E14" s="3" t="n"/>
      <c r="F14" s="3">
        <f>'C041-相控阵数字样机软件用户手册'!F31</f>
        <v/>
      </c>
      <c r="G14" s="3">
        <f>'C041-相控阵数字样机软件用户手册'!G31</f>
        <v/>
      </c>
      <c r="H14" s="3">
        <f>'C041-相控阵数字样机软件用户手册'!H31</f>
        <v/>
      </c>
      <c r="I14" s="3">
        <f>'C041-相控阵数字样机软件用户手册'!I31</f>
        <v/>
      </c>
      <c r="J14" s="3">
        <f>'C041-相控阵数字样机软件用户手册'!J31</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0"/>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软件测试报告检查单</t>
        </is>
      </c>
      <c r="B1" s="2" t="n"/>
      <c r="C1" s="2" t="n"/>
      <c r="D1" s="2" t="n"/>
      <c r="E1" s="2" t="n"/>
      <c r="F1" s="2" t="n"/>
      <c r="G1" s="2" t="n"/>
      <c r="H1" s="2" t="n"/>
      <c r="I1" s="2" t="n"/>
      <c r="J1" s="2" t="n"/>
      <c r="K1" s="2" t="n"/>
      <c r="L1" s="2" t="n"/>
    </row>
    <row r="2">
      <c r="A2" s="3" t="inlineStr">
        <is>
          <t>编号：ZDPX-03046/0.0-QA-检查单-042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相控阵数字样机软件测试报告</t>
        </is>
      </c>
      <c r="D4" s="3" t="n"/>
      <c r="E4" s="3" t="n"/>
      <c r="F4" s="4" t="inlineStr">
        <is>
          <t>产品标识</t>
        </is>
      </c>
      <c r="G4" s="4" t="n"/>
      <c r="H4" s="3" t="inlineStr">
        <is>
          <t>ZDPX03046/0.0-HCBG</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是否完整、准确记录了软件的完整标识？</t>
        </is>
      </c>
      <c r="C8" s="3" t="n"/>
      <c r="D8" s="3" t="n"/>
      <c r="E8" s="3" t="n"/>
      <c r="F8" s="3" t="n"/>
      <c r="G8" s="3" t="n"/>
      <c r="H8" s="3" t="inlineStr">
        <is>
          <t>✓</t>
        </is>
      </c>
      <c r="I8" s="3" t="n"/>
      <c r="J8" s="3" t="inlineStr">
        <is>
          <t>一般</t>
        </is>
      </c>
      <c r="K8" s="3" t="inlineStr">
        <is>
          <t>必要内容覆盖不完整</t>
        </is>
      </c>
      <c r="L8" s="3" t="n"/>
    </row>
    <row r="9" ht="18" customHeight="1">
      <c r="A9" s="3" t="inlineStr">
        <is>
          <t>2</t>
        </is>
      </c>
      <c r="B9" s="3" t="inlineStr">
        <is>
          <t>是否正确记录了本文档所适用对象的用途？</t>
        </is>
      </c>
      <c r="C9" s="3" t="n"/>
      <c r="D9" s="3" t="n"/>
      <c r="E9" s="3" t="n"/>
      <c r="F9" s="3" t="n"/>
      <c r="G9" s="3" t="inlineStr">
        <is>
          <t>✓</t>
        </is>
      </c>
      <c r="H9" s="3" t="n"/>
      <c r="I9" s="3" t="n"/>
      <c r="J9" s="3" t="inlineStr"/>
      <c r="K9" s="3" t="inlineStr"/>
      <c r="L9" s="3" t="n"/>
    </row>
    <row r="10" ht="18" customHeight="1">
      <c r="A10" s="3" t="inlineStr">
        <is>
          <t>3</t>
        </is>
      </c>
      <c r="B10" s="3" t="inlineStr">
        <is>
          <t>是否完整、准确记录了本测试报告的依据？</t>
        </is>
      </c>
      <c r="C10" s="3" t="n"/>
      <c r="D10" s="3" t="n"/>
      <c r="E10" s="3" t="n"/>
      <c r="F10" s="3" t="n"/>
      <c r="G10" s="3" t="inlineStr">
        <is>
          <t>✓</t>
        </is>
      </c>
      <c r="H10" s="3" t="n"/>
      <c r="I10" s="3" t="n"/>
      <c r="J10" s="3" t="inlineStr"/>
      <c r="K10" s="3" t="inlineStr"/>
      <c r="L10" s="3" t="n"/>
    </row>
    <row r="11" ht="18" customHeight="1">
      <c r="A11" s="3" t="inlineStr">
        <is>
          <t>4</t>
        </is>
      </c>
      <c r="B11" s="3" t="inlineStr">
        <is>
          <t>是否准确地说明了本测试报告的级别（单元测试、集成测试、合格性测试）？</t>
        </is>
      </c>
      <c r="C11" s="3" t="n"/>
      <c r="D11" s="3" t="n"/>
      <c r="E11" s="3" t="n"/>
      <c r="F11" s="3" t="n"/>
      <c r="G11" s="3" t="inlineStr">
        <is>
          <t>✓</t>
        </is>
      </c>
      <c r="H11" s="3" t="n"/>
      <c r="I11" s="3" t="n"/>
      <c r="J11" s="3" t="inlineStr"/>
      <c r="K11" s="3" t="inlineStr"/>
      <c r="L11" s="3" t="n"/>
    </row>
    <row r="12" ht="18" customHeight="1">
      <c r="A12" s="3" t="inlineStr">
        <is>
          <t>5</t>
        </is>
      </c>
      <c r="B12" s="3" t="inlineStr">
        <is>
          <t>是否完整、准确地说明了测试过程？</t>
        </is>
      </c>
      <c r="C12" s="3" t="n"/>
      <c r="D12" s="3" t="n"/>
      <c r="E12" s="3" t="n"/>
      <c r="F12" s="3" t="n"/>
      <c r="G12" s="3" t="inlineStr">
        <is>
          <t>✓</t>
        </is>
      </c>
      <c r="H12" s="3" t="n"/>
      <c r="I12" s="3" t="n"/>
      <c r="J12" s="3" t="inlineStr"/>
      <c r="K12" s="3" t="inlineStr"/>
      <c r="L12" s="3" t="n"/>
    </row>
    <row r="13" ht="18" customHeight="1">
      <c r="A13" s="3" t="inlineStr">
        <is>
          <t>6*</t>
        </is>
      </c>
      <c r="B13" s="3" t="inlineStr">
        <is>
          <t>是否对被测软件有总体评估？</t>
        </is>
      </c>
      <c r="C13" s="3" t="n"/>
      <c r="D13" s="3" t="n"/>
      <c r="E13" s="3" t="n"/>
      <c r="F13" s="3" t="n"/>
      <c r="G13" s="3" t="inlineStr">
        <is>
          <t>✓</t>
        </is>
      </c>
      <c r="H13" s="3" t="n"/>
      <c r="I13" s="3" t="n"/>
      <c r="J13" s="3" t="inlineStr"/>
      <c r="K13" s="3" t="inlineStr"/>
      <c r="L13" s="3" t="n"/>
    </row>
    <row r="14" ht="18" customHeight="1">
      <c r="A14" s="3" t="inlineStr">
        <is>
          <t>7*</t>
        </is>
      </c>
      <c r="B14" s="3" t="inlineStr">
        <is>
          <t>是否完整、准确的记录了测试用例执行结果？</t>
        </is>
      </c>
      <c r="C14" s="3" t="n"/>
      <c r="D14" s="3" t="n"/>
      <c r="E14" s="3" t="n"/>
      <c r="F14" s="3" t="n"/>
      <c r="G14" s="3" t="inlineStr">
        <is>
          <t>✓</t>
        </is>
      </c>
      <c r="H14" s="3" t="n"/>
      <c r="I14" s="3" t="n"/>
      <c r="J14" s="3" t="inlineStr"/>
      <c r="K14" s="3" t="inlineStr"/>
      <c r="L14" s="3" t="n"/>
    </row>
    <row r="15" ht="18" customHeight="1">
      <c r="A15" s="3" t="inlineStr">
        <is>
          <t>8*</t>
        </is>
      </c>
      <c r="B15" s="3" t="inlineStr">
        <is>
          <t>是否有完整的问题报告单？</t>
        </is>
      </c>
      <c r="C15" s="3" t="n"/>
      <c r="D15" s="3" t="n"/>
      <c r="E15" s="3" t="n"/>
      <c r="F15" s="3" t="n"/>
      <c r="G15" s="3" t="n"/>
      <c r="H15" s="3" t="inlineStr">
        <is>
          <t>✓</t>
        </is>
      </c>
      <c r="I15" s="3" t="n"/>
      <c r="J15" s="3" t="inlineStr">
        <is>
          <t>严重</t>
        </is>
      </c>
      <c r="K15" s="3" t="inlineStr">
        <is>
          <t>必要内容覆盖不完整</t>
        </is>
      </c>
      <c r="L15" s="3" t="n"/>
    </row>
    <row r="17">
      <c r="A17" s="7" t="inlineStr">
        <is>
          <t>不符合项问题明细</t>
        </is>
      </c>
      <c r="B17" s="7" t="n"/>
      <c r="C17" s="7" t="n"/>
      <c r="D17" s="7" t="n"/>
      <c r="E17" s="7" t="n"/>
      <c r="F17" s="7" t="n"/>
      <c r="G17" s="7" t="n"/>
      <c r="H17" s="7" t="n"/>
      <c r="I17" s="7" t="n"/>
      <c r="J17" s="7" t="n"/>
      <c r="K17" s="7" t="n"/>
      <c r="L17" s="7" t="n"/>
    </row>
    <row r="18">
      <c r="A18" s="4" t="inlineStr">
        <is>
          <t>问题ID</t>
        </is>
      </c>
      <c r="B18" s="4" t="inlineStr">
        <is>
          <t>检查项</t>
        </is>
      </c>
      <c r="C18" s="4" t="inlineStr">
        <is>
          <t>问题描述</t>
        </is>
      </c>
      <c r="D18" s="4" t="inlineStr"/>
      <c r="E18" s="4" t="inlineStr"/>
      <c r="F18" s="4" t="inlineStr">
        <is>
          <t>严重程度</t>
        </is>
      </c>
      <c r="G18" s="4" t="inlineStr">
        <is>
          <t>责任人</t>
        </is>
      </c>
      <c r="H18" s="4" t="inlineStr">
        <is>
          <t>提交日期</t>
        </is>
      </c>
      <c r="I18" s="4" t="inlineStr">
        <is>
          <t>计划关闭日期</t>
        </is>
      </c>
      <c r="J18" s="4" t="inlineStr">
        <is>
          <t>纠正措施</t>
        </is>
      </c>
      <c r="K18" s="4" t="inlineStr"/>
      <c r="L18" s="4" t="inlineStr">
        <is>
          <t>关闭</t>
        </is>
      </c>
    </row>
    <row r="19" ht="30" customHeight="1">
      <c r="A19" s="3" t="n">
        <v>45</v>
      </c>
      <c r="B19" s="3" t="inlineStr">
        <is>
          <t>1</t>
        </is>
      </c>
      <c r="C19" s="3" t="inlineStr">
        <is>
          <t>相关工作产品未完整覆盖本检查项要求的必要内容和适用场景，当前结果不能支撑该项要求已经全部落实。</t>
        </is>
      </c>
      <c r="D19" s="3" t="n"/>
      <c r="E19" s="3" t="n"/>
      <c r="F19" s="3" t="inlineStr">
        <is>
          <t>一般</t>
        </is>
      </c>
      <c r="G19" s="3" t="inlineStr">
        <is>
          <t>赵要浦</t>
        </is>
      </c>
      <c r="H19" s="3" t="inlineStr">
        <is>
          <t>2026-03-23</t>
        </is>
      </c>
      <c r="I19" s="3" t="inlineStr">
        <is>
          <t>2026-03-24</t>
        </is>
      </c>
      <c r="J19" s="3" t="inlineStr">
        <is>
          <t>补齐遗漏内容和适用场景，核对相关输入后组织复核，并保留复核结论。</t>
        </is>
      </c>
      <c r="K19" s="3" t="n"/>
      <c r="L19" s="3" t="inlineStr">
        <is>
          <t>否</t>
        </is>
      </c>
    </row>
    <row r="20" ht="30" customHeight="1">
      <c r="A20" s="3" t="n">
        <v>46</v>
      </c>
      <c r="B20" s="3" t="inlineStr">
        <is>
          <t>8</t>
        </is>
      </c>
      <c r="C20" s="3" t="inlineStr">
        <is>
          <t>相关工作产品未完整覆盖本检查项要求的必要内容和适用场景，当前结果不能支撑该项要求已经全部落实。</t>
        </is>
      </c>
      <c r="D20" s="3" t="n"/>
      <c r="E20" s="3" t="n"/>
      <c r="F20" s="3" t="inlineStr">
        <is>
          <t>严重</t>
        </is>
      </c>
      <c r="G20" s="3" t="inlineStr">
        <is>
          <t>赵要浦</t>
        </is>
      </c>
      <c r="H20" s="3" t="inlineStr">
        <is>
          <t>2026-03-23</t>
        </is>
      </c>
      <c r="I20" s="3" t="inlineStr">
        <is>
          <t>2026-03-24</t>
        </is>
      </c>
      <c r="J20" s="3" t="inlineStr">
        <is>
          <t>补齐遗漏内容和适用场景，核对相关输入后组织复核，并保留复核结论。</t>
        </is>
      </c>
      <c r="K20" s="3" t="n"/>
      <c r="L20"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34">
    <mergeCell ref="F4:G4"/>
    <mergeCell ref="A7:L7"/>
    <mergeCell ref="K15:L15"/>
    <mergeCell ref="K9:L9"/>
    <mergeCell ref="J19:K19"/>
    <mergeCell ref="H4:I4"/>
    <mergeCell ref="F3:G3"/>
    <mergeCell ref="A2:L2"/>
    <mergeCell ref="B12:F12"/>
    <mergeCell ref="K11:L11"/>
    <mergeCell ref="B11:F11"/>
    <mergeCell ref="A17:L17"/>
    <mergeCell ref="B8:F8"/>
    <mergeCell ref="B14:F14"/>
    <mergeCell ref="A3:B3"/>
    <mergeCell ref="B13:F13"/>
    <mergeCell ref="J4:K4"/>
    <mergeCell ref="J20:K20"/>
    <mergeCell ref="K12:L12"/>
    <mergeCell ref="C19:E19"/>
    <mergeCell ref="K8:L8"/>
    <mergeCell ref="B10:F10"/>
    <mergeCell ref="C3:E3"/>
    <mergeCell ref="K14:L14"/>
    <mergeCell ref="B9:F9"/>
    <mergeCell ref="H3:I3"/>
    <mergeCell ref="A4:B4"/>
    <mergeCell ref="J3:K3"/>
    <mergeCell ref="B15:F15"/>
    <mergeCell ref="A1:L1"/>
    <mergeCell ref="K10:L10"/>
    <mergeCell ref="C4:E4"/>
    <mergeCell ref="K13:L13"/>
    <mergeCell ref="C20:E20"/>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相控阵数字样机软件测试报告</t>
        </is>
      </c>
      <c r="G4" s="3" t="n"/>
      <c r="H4" s="3" t="n"/>
      <c r="I4" s="3" t="n"/>
      <c r="J4" s="3" t="n"/>
      <c r="K4" s="3" t="n"/>
    </row>
    <row r="5">
      <c r="B5" s="4" t="inlineStr">
        <is>
          <t>审核人</t>
        </is>
      </c>
      <c r="C5" s="4" t="n"/>
      <c r="D5" s="3" t="inlineStr">
        <is>
          <t>高蕾</t>
        </is>
      </c>
      <c r="E5" s="3" t="n"/>
      <c r="F5" s="4" t="inlineStr">
        <is>
          <t>审核日期</t>
        </is>
      </c>
      <c r="G5" s="4" t="n"/>
      <c r="H5" s="3" t="inlineStr">
        <is>
          <t>2026-03-23</t>
        </is>
      </c>
      <c r="I5" s="3" t="n"/>
      <c r="J5" s="3" t="n"/>
      <c r="K5" s="3" t="n"/>
    </row>
    <row r="6">
      <c r="B6" s="4" t="inlineStr">
        <is>
          <t>审核依据</t>
        </is>
      </c>
      <c r="C6" s="4" t="n"/>
      <c r="D6" s="3" t="inlineStr">
        <is>
          <t>ZDPX-03046/0.0-QA-检查单-042</t>
        </is>
      </c>
      <c r="E6" s="3" t="n"/>
      <c r="F6" s="3" t="n"/>
      <c r="G6" s="3" t="n"/>
      <c r="H6" s="3" t="n"/>
      <c r="I6" s="3" t="n"/>
      <c r="J6" s="3" t="n"/>
      <c r="K6" s="3" t="n"/>
    </row>
    <row r="7">
      <c r="B7" s="3" t="inlineStr">
        <is>
          <t>本次审核依据《软件测试报告检查单》实施。经审核，发现2个不符合项。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'C042-相控阵数字样机软件测试报告'!C19</f>
        <v/>
      </c>
      <c r="D13" s="3" t="n"/>
      <c r="E13" s="3" t="n"/>
      <c r="F13" s="3">
        <f>'C042-相控阵数字样机软件测试报告'!F19</f>
        <v/>
      </c>
      <c r="G13" s="3">
        <f>'C042-相控阵数字样机软件测试报告'!G19</f>
        <v/>
      </c>
      <c r="H13" s="3">
        <f>'C042-相控阵数字样机软件测试报告'!H19</f>
        <v/>
      </c>
      <c r="I13" s="3">
        <f>'C042-相控阵数字样机软件测试报告'!I19</f>
        <v/>
      </c>
      <c r="J13" s="3">
        <f>'C042-相控阵数字样机软件测试报告'!J19</f>
        <v/>
      </c>
      <c r="K13" s="3" t="n"/>
    </row>
    <row r="14" ht="30" customHeight="1">
      <c r="B14" s="3" t="n">
        <v>2</v>
      </c>
      <c r="C14" s="3">
        <f>'C042-相控阵数字样机软件测试报告'!C20</f>
        <v/>
      </c>
      <c r="D14" s="3" t="n"/>
      <c r="E14" s="3" t="n"/>
      <c r="F14" s="3">
        <f>'C042-相控阵数字样机软件测试报告'!F20</f>
        <v/>
      </c>
      <c r="G14" s="3">
        <f>'C042-相控阵数字样机软件测试报告'!G20</f>
        <v/>
      </c>
      <c r="H14" s="3">
        <f>'C042-相控阵数字样机软件测试报告'!H20</f>
        <v/>
      </c>
      <c r="I14" s="3">
        <f>'C042-相控阵数字样机软件测试报告'!I20</f>
        <v/>
      </c>
      <c r="J14" s="3">
        <f>'C042-相控阵数字样机软件测试报告'!J20</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编号：ZDPX-03046/0.0-QA-检查单-043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编号：ZDPX-03046/0.0-QA-检查单-044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审核需求开发与管理</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inlineStr">
        <is>
          <t>✓</t>
        </is>
      </c>
      <c r="H29" s="3" t="n"/>
      <c r="I29" s="3" t="n"/>
      <c r="J29" s="3" t="inlineStr"/>
      <c r="K29" s="3" t="inlineStr"/>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inlineStr">
        <is>
          <t>✓</t>
        </is>
      </c>
      <c r="H37" s="3" t="n"/>
      <c r="I37" s="3" t="n"/>
      <c r="J37" s="3" t="inlineStr"/>
      <c r="K37" s="3" t="inlineStr"/>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c r="A41" s="3" t="inlineStr">
        <is>
          <t>本次审核未发现不符合项。</t>
        </is>
      </c>
      <c r="B41" s="3" t="n"/>
      <c r="C41" s="3" t="n"/>
      <c r="D41" s="3" t="n"/>
      <c r="E41" s="3" t="n"/>
      <c r="F41" s="3" t="n"/>
      <c r="G41" s="3" t="n"/>
      <c r="H41" s="3" t="n"/>
      <c r="I41" s="3" t="n"/>
      <c r="J41" s="3" t="n"/>
      <c r="K41" s="3" t="n"/>
      <c r="L41" s="3" t="n"/>
    </row>
  </sheetData>
  <sheetProtection selectLockedCells="0" selectUnlockedCells="0" sheet="1" objects="0" insertRows="1" insertHyperlinks="1" autoFilter="1" scenarios="0" formatColumns="1" deleteColumns="1" insertColumns="1" pivotTables="1" deleteRows="1" formatCells="1" formatRows="1" sort="1"/>
  <mergeCells count="74">
    <mergeCell ref="K16:L16"/>
    <mergeCell ref="F4:G4"/>
    <mergeCell ref="K30:L30"/>
    <mergeCell ref="K25:L25"/>
    <mergeCell ref="A7:L7"/>
    <mergeCell ref="K34:L34"/>
    <mergeCell ref="B16:F16"/>
    <mergeCell ref="A41:L41"/>
    <mergeCell ref="B25:F25"/>
    <mergeCell ref="K15:L15"/>
    <mergeCell ref="K33:L33"/>
    <mergeCell ref="K9:L9"/>
    <mergeCell ref="B31:F31"/>
    <mergeCell ref="H4:I4"/>
    <mergeCell ref="B22:F22"/>
    <mergeCell ref="K36:L36"/>
    <mergeCell ref="B18:F18"/>
    <mergeCell ref="B27:F27"/>
    <mergeCell ref="K26:L26"/>
    <mergeCell ref="K21:L21"/>
    <mergeCell ref="F3:G3"/>
    <mergeCell ref="B21:F21"/>
    <mergeCell ref="A2:L2"/>
    <mergeCell ref="B12:F12"/>
    <mergeCell ref="K11:L11"/>
    <mergeCell ref="K20:L20"/>
    <mergeCell ref="K29:L29"/>
    <mergeCell ref="K35:L35"/>
    <mergeCell ref="B11:F11"/>
    <mergeCell ref="K32:L32"/>
    <mergeCell ref="B23:F23"/>
    <mergeCell ref="K31:L31"/>
    <mergeCell ref="B8:F8"/>
    <mergeCell ref="B14:F14"/>
    <mergeCell ref="K22:L22"/>
    <mergeCell ref="A3:B3"/>
    <mergeCell ref="B17:F17"/>
    <mergeCell ref="B13:F13"/>
    <mergeCell ref="J4:K4"/>
    <mergeCell ref="B29:F29"/>
    <mergeCell ref="K12:L12"/>
    <mergeCell ref="K8:L8"/>
    <mergeCell ref="B34:F34"/>
    <mergeCell ref="B10:F10"/>
    <mergeCell ref="B28:F28"/>
    <mergeCell ref="B19:F19"/>
    <mergeCell ref="B37:F37"/>
    <mergeCell ref="K27:L27"/>
    <mergeCell ref="C3:E3"/>
    <mergeCell ref="K23:L23"/>
    <mergeCell ref="B26:F26"/>
    <mergeCell ref="K14:L14"/>
    <mergeCell ref="A39:L39"/>
    <mergeCell ref="B9:F9"/>
    <mergeCell ref="K17:L17"/>
    <mergeCell ref="H3:I3"/>
    <mergeCell ref="A4:B4"/>
    <mergeCell ref="A24:L24"/>
    <mergeCell ref="J3:K3"/>
    <mergeCell ref="B30:F30"/>
    <mergeCell ref="B20:F20"/>
    <mergeCell ref="B15:F15"/>
    <mergeCell ref="B33:F33"/>
    <mergeCell ref="A1:L1"/>
    <mergeCell ref="K10:L10"/>
    <mergeCell ref="K28:L28"/>
    <mergeCell ref="C4:E4"/>
    <mergeCell ref="K19:L19"/>
    <mergeCell ref="K37:L37"/>
    <mergeCell ref="B36:F36"/>
    <mergeCell ref="B32:F32"/>
    <mergeCell ref="K13:L13"/>
    <mergeCell ref="K18:L18"/>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审核需求开发与管理</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ZDPX-03046/0.0-QA-检查单-044</t>
        </is>
      </c>
      <c r="E6" s="3" t="n"/>
      <c r="F6" s="3" t="n"/>
      <c r="G6" s="3" t="n"/>
      <c r="H6" s="3" t="n"/>
      <c r="I6" s="3" t="n"/>
      <c r="J6" s="3" t="n"/>
      <c r="K6" s="3" t="n"/>
    </row>
    <row r="7">
      <c r="B7" s="3" t="inlineStr">
        <is>
          <t>本次审核依据《需求开发与管理检查单》实施。经审核，未发现不符合项。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4"/>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编号：ZDPX-03046/0.0-QA-检查单-045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审核配置管理过程-阶段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inlineStr">
        <is>
          <t>✓</t>
        </is>
      </c>
      <c r="H17" s="3" t="n"/>
      <c r="I17" s="3" t="n"/>
      <c r="J17" s="3" t="inlineStr"/>
      <c r="K17" s="3" t="inlineStr"/>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n"/>
      <c r="H23" s="3" t="inlineStr">
        <is>
          <t>✓</t>
        </is>
      </c>
      <c r="I23" s="3" t="n"/>
      <c r="J23" s="3" t="inlineStr">
        <is>
          <t>一般</t>
        </is>
      </c>
      <c r="K23" s="3" t="inlineStr">
        <is>
          <t>必要内容覆盖不完整</t>
        </is>
      </c>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n"/>
      <c r="H26" s="3" t="inlineStr">
        <is>
          <t>✓</t>
        </is>
      </c>
      <c r="I26" s="3" t="n"/>
      <c r="J26" s="3" t="inlineStr">
        <is>
          <t>一般</t>
        </is>
      </c>
      <c r="K26" s="3" t="inlineStr">
        <is>
          <t>必要内容覆盖不完整</t>
        </is>
      </c>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47</v>
      </c>
      <c r="B33" s="3" t="inlineStr">
        <is>
          <t>16</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2026-03-30</t>
        </is>
      </c>
      <c r="I33" s="3" t="inlineStr">
        <is>
          <t>2026-03-30</t>
        </is>
      </c>
      <c r="J33" s="3" t="inlineStr">
        <is>
          <t>补齐遗漏内容和适用场景，核对相关输入后组织复核，并保留复核结论。</t>
        </is>
      </c>
      <c r="K33" s="3" t="n"/>
      <c r="L33" s="3" t="inlineStr">
        <is>
          <t>否</t>
        </is>
      </c>
    </row>
    <row r="34" ht="30" customHeight="1">
      <c r="A34" s="3" t="n">
        <v>48</v>
      </c>
      <c r="B34" s="3" t="inlineStr">
        <is>
          <t>19</t>
        </is>
      </c>
      <c r="C34" s="3" t="inlineStr">
        <is>
          <t>相关工作产品未完整覆盖本检查项要求的必要内容和适用场景，当前结果不能支撑该项要求已经全部落实。</t>
        </is>
      </c>
      <c r="D34" s="3" t="n"/>
      <c r="E34" s="3" t="n"/>
      <c r="F34" s="3" t="inlineStr">
        <is>
          <t>一般</t>
        </is>
      </c>
      <c r="G34" s="3" t="inlineStr">
        <is>
          <t>赵要浦</t>
        </is>
      </c>
      <c r="H34" s="3" t="inlineStr">
        <is>
          <t>2026-03-30</t>
        </is>
      </c>
      <c r="I34" s="3" t="inlineStr">
        <is>
          <t>2026-03-30</t>
        </is>
      </c>
      <c r="J34" s="3" t="inlineStr">
        <is>
          <t>补齐遗漏内容和适用场景，核对相关输入后组织复核，并保留复核结论。</t>
        </is>
      </c>
      <c r="K34" s="3" t="n"/>
      <c r="L34"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2">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J34:K34"/>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C34:E3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审核配置管理过程-阶段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ZDPX-03046/0.0-QA-检查单-045</t>
        </is>
      </c>
      <c r="E6" s="3" t="n"/>
      <c r="F6" s="3" t="n"/>
      <c r="G6" s="3" t="n"/>
      <c r="H6" s="3" t="n"/>
      <c r="I6" s="3" t="n"/>
      <c r="J6" s="3" t="n"/>
      <c r="K6" s="3" t="n"/>
    </row>
    <row r="7">
      <c r="B7" s="3" t="inlineStr">
        <is>
          <t>本次审核依据《配 置 管 理 检 查 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'C045-审核配置管理过程-阶段'!C33</f>
        <v/>
      </c>
      <c r="D13" s="3" t="n"/>
      <c r="E13" s="3" t="n"/>
      <c r="F13" s="3">
        <f>'C045-审核配置管理过程-阶段'!F33</f>
        <v/>
      </c>
      <c r="G13" s="3">
        <f>'C045-审核配置管理过程-阶段'!G33</f>
        <v/>
      </c>
      <c r="H13" s="3">
        <f>'C045-审核配置管理过程-阶段'!H33</f>
        <v/>
      </c>
      <c r="I13" s="3">
        <f>'C045-审核配置管理过程-阶段'!I33</f>
        <v/>
      </c>
      <c r="J13" s="3">
        <f>'C045-审核配置管理过程-阶段'!J33</f>
        <v/>
      </c>
      <c r="K13" s="3" t="n"/>
    </row>
    <row r="14" ht="30" customHeight="1">
      <c r="B14" s="3" t="n">
        <v>2</v>
      </c>
      <c r="C14" s="3">
        <f>'C045-审核配置管理过程-阶段'!C34</f>
        <v/>
      </c>
      <c r="D14" s="3" t="n"/>
      <c r="E14" s="3" t="n"/>
      <c r="F14" s="3">
        <f>'C045-审核配置管理过程-阶段'!F34</f>
        <v/>
      </c>
      <c r="G14" s="3">
        <f>'C045-审核配置管理过程-阶段'!G34</f>
        <v/>
      </c>
      <c r="H14" s="3">
        <f>'C045-审核配置管理过程-阶段'!H34</f>
        <v/>
      </c>
      <c r="I14" s="3">
        <f>'C045-审核配置管理过程-阶段'!I34</f>
        <v/>
      </c>
      <c r="J14" s="3">
        <f>'C045-审核配置管理过程-阶段'!J34</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5"/>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编号：ZDPX-03046/0.0-QA-检查单-046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审核项目监控过程-阶段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inlineStr">
        <is>
          <t>✓</t>
        </is>
      </c>
      <c r="H9" s="3" t="n"/>
      <c r="I9" s="3" t="n"/>
      <c r="J9" s="3" t="inlineStr"/>
      <c r="K9" s="3" t="inlineStr"/>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n"/>
      <c r="H30" s="3" t="inlineStr">
        <is>
          <t>✓</t>
        </is>
      </c>
      <c r="I30" s="3" t="n"/>
      <c r="J30" s="3" t="inlineStr">
        <is>
          <t>严重</t>
        </is>
      </c>
      <c r="K30" s="3" t="inlineStr">
        <is>
          <t>必要内容覆盖不完整</t>
        </is>
      </c>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inlineStr">
        <is>
          <t>✓</t>
        </is>
      </c>
      <c r="H37" s="3" t="n"/>
      <c r="I37" s="3" t="n"/>
      <c r="J37" s="3" t="inlineStr"/>
      <c r="K37" s="3" t="inlineStr"/>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49</v>
      </c>
      <c r="B45" s="3" t="inlineStr">
        <is>
          <t>23</t>
        </is>
      </c>
      <c r="C45" s="3" t="inlineStr">
        <is>
          <t>相关工作产品未完整覆盖本检查项要求的必要内容和适用场景，当前结果不能支撑该项要求已经全部落实。</t>
        </is>
      </c>
      <c r="D45" s="3" t="n"/>
      <c r="E45" s="3" t="n"/>
      <c r="F45" s="3" t="inlineStr">
        <is>
          <t>严重</t>
        </is>
      </c>
      <c r="G45" s="3" t="inlineStr">
        <is>
          <t>赵要浦</t>
        </is>
      </c>
      <c r="H45" s="3" t="inlineStr">
        <is>
          <t>2026-03-30</t>
        </is>
      </c>
      <c r="I45" s="3" t="inlineStr">
        <is>
          <t>2026-03-30</t>
        </is>
      </c>
      <c r="J45" s="3" t="inlineStr">
        <is>
          <t>补齐遗漏内容和适用场景，核对相关输入后组织复核，并保留复核结论。</t>
        </is>
      </c>
      <c r="K45" s="3" t="n"/>
      <c r="L45"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4">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K21:L21"/>
    <mergeCell ref="K32:L32"/>
    <mergeCell ref="K41:L41"/>
    <mergeCell ref="B8:F8"/>
    <mergeCell ref="B17:F17"/>
    <mergeCell ref="A43:L43"/>
    <mergeCell ref="B10:F10"/>
    <mergeCell ref="B19:F19"/>
    <mergeCell ref="K27:L27"/>
    <mergeCell ref="B9:F9"/>
    <mergeCell ref="K17:L17"/>
    <mergeCell ref="H3:I3"/>
    <mergeCell ref="J3:K3"/>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审核项目监控过程-阶段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ZDPX-03046/0.0-QA-检查单-046</t>
        </is>
      </c>
      <c r="E6" s="3" t="n"/>
      <c r="F6" s="3" t="n"/>
      <c r="G6" s="3" t="n"/>
      <c r="H6" s="3" t="n"/>
      <c r="I6" s="3" t="n"/>
      <c r="J6" s="3" t="n"/>
      <c r="K6" s="3" t="n"/>
    </row>
    <row r="7">
      <c r="B7" s="3" t="inlineStr">
        <is>
          <t>本次审核依据《项目监控检查单》实施。经审核，发现1个不符合项。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'C046-审核项目监控过程-阶段'!C45</f>
        <v/>
      </c>
      <c r="D13" s="3" t="n"/>
      <c r="E13" s="3" t="n"/>
      <c r="F13" s="3">
        <f>'C046-审核项目监控过程-阶段'!F45</f>
        <v/>
      </c>
      <c r="G13" s="3">
        <f>'C046-审核项目监控过程-阶段'!G45</f>
        <v/>
      </c>
      <c r="H13" s="3">
        <f>'C046-审核项目监控过程-阶段'!H45</f>
        <v/>
      </c>
      <c r="I13" s="3">
        <f>'C046-审核项目监控过程-阶段'!I45</f>
        <v/>
      </c>
      <c r="J13" s="3">
        <f>'C046-审核项目监控过程-阶段'!J45</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编号：ZDPX-03046/0.0-QA-检查单-047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软件合格性测试及集成试运行阶段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inlineStr">
        <is>
          <t>✓</t>
        </is>
      </c>
      <c r="H15" s="3" t="n"/>
      <c r="I15" s="3" t="n"/>
      <c r="J15" s="3" t="inlineStr"/>
      <c r="K15" s="3" t="inlineStr"/>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inlineStr">
        <is>
          <t>✓</t>
        </is>
      </c>
      <c r="H21" s="3" t="n"/>
      <c r="I21" s="3" t="n"/>
      <c r="J21" s="3" t="inlineStr"/>
      <c r="K21" s="3" t="inlineStr"/>
      <c r="L21" s="3" t="n"/>
    </row>
    <row r="22" ht="18" customHeight="1">
      <c r="A22" s="3" t="inlineStr">
        <is>
          <t>15</t>
        </is>
      </c>
      <c r="B22" s="3" t="inlineStr">
        <is>
          <t>项目实施过程中，测量相关的数据和文档有无得到有效控制？</t>
        </is>
      </c>
      <c r="C22" s="3" t="n"/>
      <c r="D22" s="3" t="n"/>
      <c r="E22" s="3" t="n"/>
      <c r="F22" s="3" t="n"/>
      <c r="G22" s="3" t="n"/>
      <c r="H22" s="3" t="inlineStr">
        <is>
          <t>✓</t>
        </is>
      </c>
      <c r="I22" s="3" t="n"/>
      <c r="J22" s="3" t="inlineStr">
        <is>
          <t>一般</t>
        </is>
      </c>
      <c r="K22" s="3" t="inlineStr">
        <is>
          <t>必要内容覆盖不完整</t>
        </is>
      </c>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50</v>
      </c>
      <c r="B26" s="3" t="inlineStr">
        <is>
          <t>15</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2026-03-30</t>
        </is>
      </c>
      <c r="I26" s="3" t="inlineStr">
        <is>
          <t>2026-03-30</t>
        </is>
      </c>
      <c r="J26" s="3" t="inlineStr">
        <is>
          <t>补齐遗漏内容和适用场景，核对相关输入后组织复核，并保留复核结论。</t>
        </is>
      </c>
      <c r="K26" s="3" t="n"/>
      <c r="L2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6">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B11:F11"/>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编号：ZDPX-03046/0.0-QA-审核报告-047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软件合格性测试及集成试运行阶段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2026-03-30</t>
        </is>
      </c>
      <c r="I5" s="3" t="n"/>
      <c r="J5" s="3" t="n"/>
      <c r="K5" s="3" t="n"/>
    </row>
    <row r="6">
      <c r="B6" s="4" t="inlineStr">
        <is>
          <t>审核依据</t>
        </is>
      </c>
      <c r="C6" s="4" t="n"/>
      <c r="D6" s="3" t="inlineStr">
        <is>
          <t>ZDPX-03046/0.0-QA-检查单-047</t>
        </is>
      </c>
      <c r="E6" s="3" t="n"/>
      <c r="F6" s="3" t="n"/>
      <c r="G6" s="3" t="n"/>
      <c r="H6" s="3" t="n"/>
      <c r="I6" s="3" t="n"/>
      <c r="J6" s="3" t="n"/>
      <c r="K6" s="3" t="n"/>
    </row>
    <row r="7">
      <c r="B7" s="3" t="inlineStr">
        <is>
          <t>本次审核依据《测量与绩效管理检查单》实施。经审核，发现1个不符合项。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'C047-审核测量与绩效管理-阶段'!C26</f>
        <v/>
      </c>
      <c r="D13" s="3" t="n"/>
      <c r="E13" s="3" t="n"/>
      <c r="F13" s="3">
        <f>'C047-审核测量与绩效管理-阶段'!F26</f>
        <v/>
      </c>
      <c r="G13" s="3">
        <f>'C047-审核测量与绩效管理-阶段'!G26</f>
        <v/>
      </c>
      <c r="H13" s="3">
        <f>'C047-审核测量与绩效管理-阶段'!H26</f>
        <v/>
      </c>
      <c r="I13" s="3">
        <f>'C047-审核测量与绩效管理-阶段'!I26</f>
        <v/>
      </c>
      <c r="J13" s="3">
        <f>'C047-审核测量与绩效管理-阶段'!J26</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39</v>
      </c>
      <c r="B2">
        <f>'R039-相控阵数字样机软件测试说明'!F4</f>
        <v/>
      </c>
      <c r="C2">
        <f>'R039-相控阵数字样机软件测试说明'!B13</f>
        <v/>
      </c>
      <c r="D2" t="inlineStr">
        <is>
          <t>工作产品</t>
        </is>
      </c>
      <c r="E2">
        <f>'R039-相控阵数字样机软件测试说明'!C13</f>
        <v/>
      </c>
      <c r="F2">
        <f>'R039-相控阵数字样机软件测试说明'!F13</f>
        <v/>
      </c>
      <c r="G2" t="inlineStr">
        <is>
          <t>否</t>
        </is>
      </c>
      <c r="H2" t="inlineStr">
        <is>
          <t>2026-03-30</t>
        </is>
      </c>
      <c r="I2" t="inlineStr">
        <is>
          <t>阶段</t>
        </is>
      </c>
      <c r="J2" t="inlineStr">
        <is>
          <t>2026-03-12</t>
        </is>
      </c>
    </row>
    <row r="3">
      <c r="A3" t="n">
        <v>41</v>
      </c>
      <c r="B3">
        <f>'R041-相控阵数字样机软件用户手册'!F4</f>
        <v/>
      </c>
      <c r="C3">
        <f>'R041-相控阵数字样机软件用户手册'!B13</f>
        <v/>
      </c>
      <c r="D3" t="inlineStr">
        <is>
          <t>工作产品</t>
        </is>
      </c>
      <c r="E3">
        <f>'R041-相控阵数字样机软件用户手册'!C13</f>
        <v/>
      </c>
      <c r="F3">
        <f>'R041-相控阵数字样机软件用户手册'!F13</f>
        <v/>
      </c>
      <c r="G3" t="inlineStr">
        <is>
          <t>否</t>
        </is>
      </c>
      <c r="H3" t="inlineStr">
        <is>
          <t>2026-03-30</t>
        </is>
      </c>
      <c r="I3" t="inlineStr">
        <is>
          <t>阶段</t>
        </is>
      </c>
      <c r="J3" t="inlineStr">
        <is>
          <t>2026-03-20</t>
        </is>
      </c>
    </row>
    <row r="4">
      <c r="A4" t="n">
        <v>41</v>
      </c>
      <c r="B4">
        <f>'R041-相控阵数字样机软件用户手册'!F4</f>
        <v/>
      </c>
      <c r="C4">
        <f>'R041-相控阵数字样机软件用户手册'!B14</f>
        <v/>
      </c>
      <c r="D4" t="inlineStr">
        <is>
          <t>工作产品</t>
        </is>
      </c>
      <c r="E4">
        <f>'R041-相控阵数字样机软件用户手册'!C14</f>
        <v/>
      </c>
      <c r="F4">
        <f>'R041-相控阵数字样机软件用户手册'!F14</f>
        <v/>
      </c>
      <c r="G4" t="inlineStr">
        <is>
          <t>否</t>
        </is>
      </c>
      <c r="H4" t="inlineStr">
        <is>
          <t>2026-03-30</t>
        </is>
      </c>
      <c r="I4" t="inlineStr">
        <is>
          <t>阶段</t>
        </is>
      </c>
      <c r="J4" t="inlineStr">
        <is>
          <t>2026-03-20</t>
        </is>
      </c>
    </row>
    <row r="5">
      <c r="A5" t="n">
        <v>42</v>
      </c>
      <c r="B5">
        <f>'R042-相控阵数字样机软件测试报告'!F4</f>
        <v/>
      </c>
      <c r="C5">
        <f>'R042-相控阵数字样机软件测试报告'!B13</f>
        <v/>
      </c>
      <c r="D5" t="inlineStr">
        <is>
          <t>工作产品</t>
        </is>
      </c>
      <c r="E5">
        <f>'R042-相控阵数字样机软件测试报告'!C13</f>
        <v/>
      </c>
      <c r="F5">
        <f>'R042-相控阵数字样机软件测试报告'!F13</f>
        <v/>
      </c>
      <c r="G5" t="inlineStr">
        <is>
          <t>否</t>
        </is>
      </c>
      <c r="H5" t="inlineStr">
        <is>
          <t>2026-03-30</t>
        </is>
      </c>
      <c r="I5" t="inlineStr">
        <is>
          <t>阶段</t>
        </is>
      </c>
      <c r="J5" t="inlineStr">
        <is>
          <t>2026-03-23</t>
        </is>
      </c>
    </row>
    <row r="6">
      <c r="A6" t="n">
        <v>42</v>
      </c>
      <c r="B6">
        <f>'R042-相控阵数字样机软件测试报告'!F4</f>
        <v/>
      </c>
      <c r="C6">
        <f>'R042-相控阵数字样机软件测试报告'!B14</f>
        <v/>
      </c>
      <c r="D6" t="inlineStr">
        <is>
          <t>工作产品</t>
        </is>
      </c>
      <c r="E6">
        <f>'R042-相控阵数字样机软件测试报告'!C14</f>
        <v/>
      </c>
      <c r="F6">
        <f>'R042-相控阵数字样机软件测试报告'!F14</f>
        <v/>
      </c>
      <c r="G6" t="inlineStr">
        <is>
          <t>否</t>
        </is>
      </c>
      <c r="H6" t="inlineStr">
        <is>
          <t>2026-03-30</t>
        </is>
      </c>
      <c r="I6" t="inlineStr">
        <is>
          <t>阶段</t>
        </is>
      </c>
      <c r="J6" t="inlineStr">
        <is>
          <t>2026-03-23</t>
        </is>
      </c>
    </row>
    <row r="7">
      <c r="A7" t="n">
        <v>45</v>
      </c>
      <c r="B7">
        <f>'R045-审核配置管理过程-阶段'!F4</f>
        <v/>
      </c>
      <c r="C7">
        <f>'R045-审核配置管理过程-阶段'!B13</f>
        <v/>
      </c>
      <c r="D7" t="inlineStr">
        <is>
          <t>CM</t>
        </is>
      </c>
      <c r="E7">
        <f>'R045-审核配置管理过程-阶段'!C13</f>
        <v/>
      </c>
      <c r="F7">
        <f>'R045-审核配置管理过程-阶段'!F13</f>
        <v/>
      </c>
      <c r="G7" t="inlineStr">
        <is>
          <t>否</t>
        </is>
      </c>
      <c r="H7" t="inlineStr">
        <is>
          <t>2026-03-30</t>
        </is>
      </c>
      <c r="I7" t="inlineStr">
        <is>
          <t>阶段</t>
        </is>
      </c>
      <c r="J7" t="inlineStr">
        <is>
          <t>2026-03-30</t>
        </is>
      </c>
    </row>
    <row r="8">
      <c r="A8" t="n">
        <v>45</v>
      </c>
      <c r="B8">
        <f>'R045-审核配置管理过程-阶段'!F4</f>
        <v/>
      </c>
      <c r="C8">
        <f>'R045-审核配置管理过程-阶段'!B14</f>
        <v/>
      </c>
      <c r="D8" t="inlineStr">
        <is>
          <t>CM</t>
        </is>
      </c>
      <c r="E8">
        <f>'R045-审核配置管理过程-阶段'!C14</f>
        <v/>
      </c>
      <c r="F8">
        <f>'R045-审核配置管理过程-阶段'!F14</f>
        <v/>
      </c>
      <c r="G8" t="inlineStr">
        <is>
          <t>否</t>
        </is>
      </c>
      <c r="H8" t="inlineStr">
        <is>
          <t>2026-03-30</t>
        </is>
      </c>
      <c r="I8" t="inlineStr">
        <is>
          <t>阶段</t>
        </is>
      </c>
      <c r="J8" t="inlineStr">
        <is>
          <t>2026-03-30</t>
        </is>
      </c>
    </row>
    <row r="9">
      <c r="A9" t="n">
        <v>46</v>
      </c>
      <c r="B9">
        <f>'R046-审核项目监控过程-阶段'!F4</f>
        <v/>
      </c>
      <c r="C9">
        <f>'R046-审核项目监控过程-阶段'!B13</f>
        <v/>
      </c>
      <c r="D9" t="inlineStr">
        <is>
          <t>PMC</t>
        </is>
      </c>
      <c r="E9">
        <f>'R046-审核项目监控过程-阶段'!C13</f>
        <v/>
      </c>
      <c r="F9">
        <f>'R046-审核项目监控过程-阶段'!F13</f>
        <v/>
      </c>
      <c r="G9" t="inlineStr">
        <is>
          <t>否</t>
        </is>
      </c>
      <c r="H9" t="inlineStr">
        <is>
          <t>2026-03-30</t>
        </is>
      </c>
      <c r="I9" t="inlineStr">
        <is>
          <t>阶段</t>
        </is>
      </c>
      <c r="J9" t="inlineStr">
        <is>
          <t>2026-03-30</t>
        </is>
      </c>
    </row>
    <row r="10">
      <c r="A10" t="n">
        <v>47</v>
      </c>
      <c r="B10">
        <f>'R047-审核测量与绩效管理-阶段'!F4</f>
        <v/>
      </c>
      <c r="C10">
        <f>'R047-审核测量与绩效管理-阶段'!B13</f>
        <v/>
      </c>
      <c r="D10" t="inlineStr">
        <is>
          <t>MPM</t>
        </is>
      </c>
      <c r="E10">
        <f>'R047-审核测量与绩效管理-阶段'!C13</f>
        <v/>
      </c>
      <c r="F10">
        <f>'R047-审核测量与绩效管理-阶段'!F13</f>
        <v/>
      </c>
      <c r="G10" t="inlineStr">
        <is>
          <t>否</t>
        </is>
      </c>
      <c r="H10" t="inlineStr">
        <is>
          <t>2026-03-30</t>
        </is>
      </c>
      <c r="I10" t="inlineStr">
        <is>
          <t>阶段</t>
        </is>
      </c>
      <c r="J10" t="inlineStr">
        <is>
          <t>2026-03-30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2026-08-21T08:13:50Z</dcterms:created>
  <dcterms:modified xmlns:dcterms="http://purl.org/dc/terms/" xmlns:xsi="http://www.w3.org/2001/XMLSchema-instance" xsi:type="dcterms:W3CDTF">2026-08-21T08:13:50Z</dcterms:modified>
</cp:coreProperties>
</file>