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'质量工作趋势分析'!$A$1:$O$32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宋体"/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'质量工作趋势分析'!$B$4:$B$9</f>
            </numRef>
          </val>
        </ser>
        <ser>
          <idx val="1"/>
          <order val="1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十类不符合项分布比例图</a:t>
            </a:r>
          </a:p>
        </rich>
      </tx>
    </title>
    <plotArea>
      <pieChart>
        <varyColors val="1"/>
        <ser>
          <idx val="0"/>
          <order val="0"/>
          <tx>
            <strRef>
              <f>'质量工作趋势分析'!S3</f>
            </strRef>
          </tx>
          <spPr>
            <a:ln xmlns:a="http://schemas.openxmlformats.org/drawingml/2006/main">
              <a:prstDash val="solid"/>
            </a:ln>
          </spPr>
          <cat>
            <numRef>
              <f>'质量工作趋势分析'!$Q$4:$Q$13</f>
            </numRef>
          </cat>
          <val>
            <numRef>
              <f>'质量工作趋势分析'!$S$4:$S$13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03046-V1-01-&#31995;&#32479;&#20998;&#26512;&#19982;&#35774;&#35745;-&#38454;&#27573;&#36136;&#37327;&#23457;&#26680;&#35760;&#2440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QualityM-03046-V1-02-&#38656;&#27714;&#20998;&#26512;&#38454;&#27573;-&#38454;&#27573;&#36136;&#37327;&#23457;&#26680;&#35760;&#24405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QualityM-03046-V1-03-&#36719;&#20214;&#35774;&#35745;&#38454;&#27573;-&#38454;&#27573;&#36136;&#37327;&#23457;&#26680;&#35760;&#24405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QualityM-03046-V1-04-&#36719;&#20214;&#32534;&#30721;&#19982;&#21333;&#20803;&#27979;&#35797;&#38454;&#27573;-&#38454;&#27573;&#36136;&#37327;&#23457;&#26680;&#35760;&#24405;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QualityM-03046-V1-05-&#36719;&#20214;&#21512;&#26684;&#24615;&#27979;&#35797;&#21450;&#38598;&#25104;&#35797;&#36816;&#34892;&#38454;&#27573;-&#38454;&#27573;&#36136;&#37327;&#23457;&#26680;&#35760;&#24405;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QualityM-03046-V1-06-&#39564;&#25910;&#19982;&#20132;&#20184;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7" max="17"/>
    <col width="12" customWidth="1" min="18" max="18"/>
    <col width="12" customWidth="1" min="19" max="19"/>
  </cols>
  <sheetData>
    <row r="1">
      <c r="A1" s="1" t="inlineStr">
        <is>
          <t>项目质量工作趋势分析</t>
        </is>
      </c>
    </row>
    <row r="3">
      <c r="A3" s="2" t="inlineStr">
        <is>
          <t>阶段</t>
        </is>
      </c>
      <c r="B3" s="2" t="inlineStr">
        <is>
          <t>NC总数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  <c r="F3" s="2" t="inlineStr">
        <is>
          <t>RDM</t>
        </is>
      </c>
      <c r="G3" s="2" t="inlineStr">
        <is>
          <t>PP</t>
        </is>
      </c>
      <c r="H3" s="2" t="inlineStr">
        <is>
          <t>PMC</t>
        </is>
      </c>
      <c r="I3" s="2" t="inlineStr">
        <is>
          <t>CM</t>
        </is>
      </c>
      <c r="J3" s="2" t="inlineStr">
        <is>
          <t>MT</t>
        </is>
      </c>
      <c r="K3" s="2" t="inlineStr">
        <is>
          <t>MPM</t>
        </is>
      </c>
      <c r="L3" s="2" t="inlineStr">
        <is>
          <t>VV</t>
        </is>
      </c>
      <c r="M3" s="2" t="inlineStr">
        <is>
          <t>LD</t>
        </is>
      </c>
      <c r="N3" s="2" t="inlineStr">
        <is>
          <t>II</t>
        </is>
      </c>
      <c r="O3" s="2" t="inlineStr">
        <is>
          <t>工作产品</t>
        </is>
      </c>
      <c r="Q3" s="2" t="inlineStr">
        <is>
          <t>类别</t>
        </is>
      </c>
      <c r="R3" s="2" t="inlineStr">
        <is>
          <t>问题数</t>
        </is>
      </c>
      <c r="S3" s="2" t="inlineStr">
        <is>
          <t>占比</t>
        </is>
      </c>
    </row>
    <row r="4">
      <c r="A4" t="inlineStr">
        <is>
          <t>系统分析与设计</t>
        </is>
      </c>
      <c r="B4">
        <f>IFERROR(INDEX('[1]阶段质量审核工作报告'!$A:$L,MATCH("阶段汇总统计",'[1]阶段质量审核工作报告'!$A:$A,0)+1,2)+INDEX('[1]阶段质量审核工作报告'!$A:$L,MATCH("阶段汇总统计",'[1]阶段质量审核工作报告'!$A:$A,0)+1,4),0)</f>
        <v/>
      </c>
      <c r="C4">
        <f>IFERROR(INDEX('[1]阶段质量审核工作报告'!$A:$L,MATCH("阶段汇总统计",'[1]阶段质量审核工作报告'!$A:$A,0)+1,8),0)</f>
        <v/>
      </c>
      <c r="D4">
        <f>IFERROR(INDEX('[1]阶段质量审核工作报告'!$A:$L,MATCH("阶段汇总统计",'[1]阶段质量审核工作报告'!$A:$A,0)+1,10),0)</f>
        <v/>
      </c>
      <c r="E4">
        <f>IFERROR(INDEX('[1]阶段质量审核工作报告'!$A:$L,MATCH("阶段汇总统计",'[1]阶段质量审核工作报告'!$A:$A,0)+1,12),0)</f>
        <v/>
      </c>
      <c r="F4">
        <f>IFERROR(INDEX('[1]阶段质量审核工作报告'!$A:$J,MATCH("RDM",'[1]阶段质量审核工作报告'!$A:$A,0)+1,1),0)</f>
        <v/>
      </c>
      <c r="G4">
        <f>IFERROR(INDEX('[1]阶段质量审核工作报告'!$A:$J,MATCH("PP",'[1]阶段质量审核工作报告'!$A:$A,0)+1,1),0)</f>
        <v/>
      </c>
      <c r="H4">
        <f>IFERROR(INDEX('[1]阶段质量审核工作报告'!$A:$J,MATCH("PMC",'[1]阶段质量审核工作报告'!$A:$A,0)+1,1),0)</f>
        <v/>
      </c>
      <c r="I4">
        <f>IFERROR(INDEX('[1]阶段质量审核工作报告'!$A:$J,MATCH("CM",'[1]阶段质量审核工作报告'!$A:$A,0)+1,1),0)</f>
        <v/>
      </c>
      <c r="J4">
        <f>IFERROR(INDEX('[1]阶段质量审核工作报告'!$A:$J,MATCH("MT",'[1]阶段质量审核工作报告'!$A:$A,0)+1,1),0)</f>
        <v/>
      </c>
      <c r="K4">
        <f>IFERROR(INDEX('[1]阶段质量审核工作报告'!$A:$J,MATCH("MPM",'[1]阶段质量审核工作报告'!$A:$A,0)+1,1),0)</f>
        <v/>
      </c>
      <c r="L4">
        <f>IFERROR(INDEX('[1]阶段质量审核工作报告'!$A:$J,MATCH("VV",'[1]阶段质量审核工作报告'!$A:$A,0)+1,1),0)</f>
        <v/>
      </c>
      <c r="M4">
        <f>IFERROR(INDEX('[1]阶段质量审核工作报告'!$A:$J,MATCH("LD",'[1]阶段质量审核工作报告'!$A:$A,0)+1,1),0)</f>
        <v/>
      </c>
      <c r="N4">
        <f>IFERROR(INDEX('[1]阶段质量审核工作报告'!$A:$J,MATCH("II",'[1]阶段质量审核工作报告'!$A:$A,0)+1,1),0)</f>
        <v/>
      </c>
      <c r="O4">
        <f>IFERROR(INDEX('[1]阶段质量审核工作报告'!$A:$J,MATCH("工作产品",'[1]阶段质量审核工作报告'!$A:$A,0)+1,1),0)</f>
        <v/>
      </c>
      <c r="Q4" s="3" t="inlineStr">
        <is>
          <t>RDM</t>
        </is>
      </c>
      <c r="R4" s="3">
        <f>F10</f>
        <v/>
      </c>
      <c r="S4" s="4">
        <f>IFERROR(R4/$B$10,0)</f>
        <v/>
      </c>
    </row>
    <row r="5">
      <c r="A5" t="inlineStr">
        <is>
          <t>需求分析阶段</t>
        </is>
      </c>
      <c r="B5">
        <f>IFERROR(INDEX('[2]阶段质量审核工作报告'!$A:$L,MATCH("阶段汇总统计",'[2]阶段质量审核工作报告'!$A:$A,0)+1,2)+INDEX('[2]阶段质量审核工作报告'!$A:$L,MATCH("阶段汇总统计",'[2]阶段质量审核工作报告'!$A:$A,0)+1,4),0)</f>
        <v/>
      </c>
      <c r="C5">
        <f>IFERROR(INDEX('[2]阶段质量审核工作报告'!$A:$L,MATCH("阶段汇总统计",'[2]阶段质量审核工作报告'!$A:$A,0)+1,8),0)</f>
        <v/>
      </c>
      <c r="D5">
        <f>IFERROR(INDEX('[2]阶段质量审核工作报告'!$A:$L,MATCH("阶段汇总统计",'[2]阶段质量审核工作报告'!$A:$A,0)+1,10),0)</f>
        <v/>
      </c>
      <c r="E5">
        <f>IFERROR(INDEX('[2]阶段质量审核工作报告'!$A:$L,MATCH("阶段汇总统计",'[2]阶段质量审核工作报告'!$A:$A,0)+1,12),0)</f>
        <v/>
      </c>
      <c r="F5">
        <f>IFERROR(INDEX('[2]阶段质量审核工作报告'!$A:$J,MATCH("RDM",'[2]阶段质量审核工作报告'!$A:$A,0)+1,1),0)</f>
        <v/>
      </c>
      <c r="G5">
        <f>IFERROR(INDEX('[2]阶段质量审核工作报告'!$A:$J,MATCH("PP",'[2]阶段质量审核工作报告'!$A:$A,0)+1,1),0)</f>
        <v/>
      </c>
      <c r="H5">
        <f>IFERROR(INDEX('[2]阶段质量审核工作报告'!$A:$J,MATCH("PMC",'[2]阶段质量审核工作报告'!$A:$A,0)+1,1),0)</f>
        <v/>
      </c>
      <c r="I5">
        <f>IFERROR(INDEX('[2]阶段质量审核工作报告'!$A:$J,MATCH("CM",'[2]阶段质量审核工作报告'!$A:$A,0)+1,1),0)</f>
        <v/>
      </c>
      <c r="J5">
        <f>IFERROR(INDEX('[2]阶段质量审核工作报告'!$A:$J,MATCH("MT",'[2]阶段质量审核工作报告'!$A:$A,0)+1,1),0)</f>
        <v/>
      </c>
      <c r="K5">
        <f>IFERROR(INDEX('[2]阶段质量审核工作报告'!$A:$J,MATCH("MPM",'[2]阶段质量审核工作报告'!$A:$A,0)+1,1),0)</f>
        <v/>
      </c>
      <c r="L5">
        <f>IFERROR(INDEX('[2]阶段质量审核工作报告'!$A:$J,MATCH("VV",'[2]阶段质量审核工作报告'!$A:$A,0)+1,1),0)</f>
        <v/>
      </c>
      <c r="M5">
        <f>IFERROR(INDEX('[2]阶段质量审核工作报告'!$A:$J,MATCH("LD",'[2]阶段质量审核工作报告'!$A:$A,0)+1,1),0)</f>
        <v/>
      </c>
      <c r="N5">
        <f>IFERROR(INDEX('[2]阶段质量审核工作报告'!$A:$J,MATCH("II",'[2]阶段质量审核工作报告'!$A:$A,0)+1,1),0)</f>
        <v/>
      </c>
      <c r="O5">
        <f>IFERROR(INDEX('[2]阶段质量审核工作报告'!$A:$J,MATCH("工作产品",'[2]阶段质量审核工作报告'!$A:$A,0)+1,1),0)</f>
        <v/>
      </c>
      <c r="Q5" s="3" t="inlineStr">
        <is>
          <t>PP</t>
        </is>
      </c>
      <c r="R5" s="3">
        <f>G10</f>
        <v/>
      </c>
      <c r="S5" s="4">
        <f>IFERROR(R5/$B$10,0)</f>
        <v/>
      </c>
    </row>
    <row r="6">
      <c r="A6" t="inlineStr">
        <is>
          <t>软件设计阶段</t>
        </is>
      </c>
      <c r="B6">
        <f>IFERROR(INDEX('[3]阶段质量审核工作报告'!$A:$L,MATCH("阶段汇总统计",'[3]阶段质量审核工作报告'!$A:$A,0)+1,2)+INDEX('[3]阶段质量审核工作报告'!$A:$L,MATCH("阶段汇总统计",'[3]阶段质量审核工作报告'!$A:$A,0)+1,4),0)</f>
        <v/>
      </c>
      <c r="C6">
        <f>IFERROR(INDEX('[3]阶段质量审核工作报告'!$A:$L,MATCH("阶段汇总统计",'[3]阶段质量审核工作报告'!$A:$A,0)+1,8),0)</f>
        <v/>
      </c>
      <c r="D6">
        <f>IFERROR(INDEX('[3]阶段质量审核工作报告'!$A:$L,MATCH("阶段汇总统计",'[3]阶段质量审核工作报告'!$A:$A,0)+1,10),0)</f>
        <v/>
      </c>
      <c r="E6">
        <f>IFERROR(INDEX('[3]阶段质量审核工作报告'!$A:$L,MATCH("阶段汇总统计",'[3]阶段质量审核工作报告'!$A:$A,0)+1,12),0)</f>
        <v/>
      </c>
      <c r="F6">
        <f>IFERROR(INDEX('[3]阶段质量审核工作报告'!$A:$J,MATCH("RDM",'[3]阶段质量审核工作报告'!$A:$A,0)+1,1),0)</f>
        <v/>
      </c>
      <c r="G6">
        <f>IFERROR(INDEX('[3]阶段质量审核工作报告'!$A:$J,MATCH("PP",'[3]阶段质量审核工作报告'!$A:$A,0)+1,1),0)</f>
        <v/>
      </c>
      <c r="H6">
        <f>IFERROR(INDEX('[3]阶段质量审核工作报告'!$A:$J,MATCH("PMC",'[3]阶段质量审核工作报告'!$A:$A,0)+1,1),0)</f>
        <v/>
      </c>
      <c r="I6">
        <f>IFERROR(INDEX('[3]阶段质量审核工作报告'!$A:$J,MATCH("CM",'[3]阶段质量审核工作报告'!$A:$A,0)+1,1),0)</f>
        <v/>
      </c>
      <c r="J6">
        <f>IFERROR(INDEX('[3]阶段质量审核工作报告'!$A:$J,MATCH("MT",'[3]阶段质量审核工作报告'!$A:$A,0)+1,1),0)</f>
        <v/>
      </c>
      <c r="K6">
        <f>IFERROR(INDEX('[3]阶段质量审核工作报告'!$A:$J,MATCH("MPM",'[3]阶段质量审核工作报告'!$A:$A,0)+1,1),0)</f>
        <v/>
      </c>
      <c r="L6">
        <f>IFERROR(INDEX('[3]阶段质量审核工作报告'!$A:$J,MATCH("VV",'[3]阶段质量审核工作报告'!$A:$A,0)+1,1),0)</f>
        <v/>
      </c>
      <c r="M6">
        <f>IFERROR(INDEX('[3]阶段质量审核工作报告'!$A:$J,MATCH("LD",'[3]阶段质量审核工作报告'!$A:$A,0)+1,1),0)</f>
        <v/>
      </c>
      <c r="N6">
        <f>IFERROR(INDEX('[3]阶段质量审核工作报告'!$A:$J,MATCH("II",'[3]阶段质量审核工作报告'!$A:$A,0)+1,1),0)</f>
        <v/>
      </c>
      <c r="O6">
        <f>IFERROR(INDEX('[3]阶段质量审核工作报告'!$A:$J,MATCH("工作产品",'[3]阶段质量审核工作报告'!$A:$A,0)+1,1),0)</f>
        <v/>
      </c>
      <c r="Q6" s="3" t="inlineStr">
        <is>
          <t>PMC</t>
        </is>
      </c>
      <c r="R6" s="3">
        <f>H10</f>
        <v/>
      </c>
      <c r="S6" s="4">
        <f>IFERROR(R6/$B$10,0)</f>
        <v/>
      </c>
    </row>
    <row r="7">
      <c r="A7" t="inlineStr">
        <is>
          <t>软件编码与单元测试阶段</t>
        </is>
      </c>
      <c r="B7">
        <f>IFERROR(INDEX('[4]阶段质量审核工作报告'!$A:$L,MATCH("阶段汇总统计",'[4]阶段质量审核工作报告'!$A:$A,0)+1,2)+INDEX('[4]阶段质量审核工作报告'!$A:$L,MATCH("阶段汇总统计",'[4]阶段质量审核工作报告'!$A:$A,0)+1,4),0)</f>
        <v/>
      </c>
      <c r="C7">
        <f>IFERROR(INDEX('[4]阶段质量审核工作报告'!$A:$L,MATCH("阶段汇总统计",'[4]阶段质量审核工作报告'!$A:$A,0)+1,8),0)</f>
        <v/>
      </c>
      <c r="D7">
        <f>IFERROR(INDEX('[4]阶段质量审核工作报告'!$A:$L,MATCH("阶段汇总统计",'[4]阶段质量审核工作报告'!$A:$A,0)+1,10),0)</f>
        <v/>
      </c>
      <c r="E7">
        <f>IFERROR(INDEX('[4]阶段质量审核工作报告'!$A:$L,MATCH("阶段汇总统计",'[4]阶段质量审核工作报告'!$A:$A,0)+1,12),0)</f>
        <v/>
      </c>
      <c r="F7">
        <f>IFERROR(INDEX('[4]阶段质量审核工作报告'!$A:$J,MATCH("RDM",'[4]阶段质量审核工作报告'!$A:$A,0)+1,1),0)</f>
        <v/>
      </c>
      <c r="G7">
        <f>IFERROR(INDEX('[4]阶段质量审核工作报告'!$A:$J,MATCH("PP",'[4]阶段质量审核工作报告'!$A:$A,0)+1,1),0)</f>
        <v/>
      </c>
      <c r="H7">
        <f>IFERROR(INDEX('[4]阶段质量审核工作报告'!$A:$J,MATCH("PMC",'[4]阶段质量审核工作报告'!$A:$A,0)+1,1),0)</f>
        <v/>
      </c>
      <c r="I7">
        <f>IFERROR(INDEX('[4]阶段质量审核工作报告'!$A:$J,MATCH("CM",'[4]阶段质量审核工作报告'!$A:$A,0)+1,1),0)</f>
        <v/>
      </c>
      <c r="J7">
        <f>IFERROR(INDEX('[4]阶段质量审核工作报告'!$A:$J,MATCH("MT",'[4]阶段质量审核工作报告'!$A:$A,0)+1,1),0)</f>
        <v/>
      </c>
      <c r="K7">
        <f>IFERROR(INDEX('[4]阶段质量审核工作报告'!$A:$J,MATCH("MPM",'[4]阶段质量审核工作报告'!$A:$A,0)+1,1),0)</f>
        <v/>
      </c>
      <c r="L7">
        <f>IFERROR(INDEX('[4]阶段质量审核工作报告'!$A:$J,MATCH("VV",'[4]阶段质量审核工作报告'!$A:$A,0)+1,1),0)</f>
        <v/>
      </c>
      <c r="M7">
        <f>IFERROR(INDEX('[4]阶段质量审核工作报告'!$A:$J,MATCH("LD",'[4]阶段质量审核工作报告'!$A:$A,0)+1,1),0)</f>
        <v/>
      </c>
      <c r="N7">
        <f>IFERROR(INDEX('[4]阶段质量审核工作报告'!$A:$J,MATCH("II",'[4]阶段质量审核工作报告'!$A:$A,0)+1,1),0)</f>
        <v/>
      </c>
      <c r="O7">
        <f>IFERROR(INDEX('[4]阶段质量审核工作报告'!$A:$J,MATCH("工作产品",'[4]阶段质量审核工作报告'!$A:$A,0)+1,1),0)</f>
        <v/>
      </c>
      <c r="Q7" s="3" t="inlineStr">
        <is>
          <t>CM</t>
        </is>
      </c>
      <c r="R7" s="3">
        <f>I10</f>
        <v/>
      </c>
      <c r="S7" s="4">
        <f>IFERROR(R7/$B$10,0)</f>
        <v/>
      </c>
    </row>
    <row r="8">
      <c r="A8" t="inlineStr">
        <is>
          <t>软件合格性测试及集成试运行阶段</t>
        </is>
      </c>
      <c r="B8">
        <f>IFERROR(INDEX('[5]阶段质量审核工作报告'!$A:$L,MATCH("阶段汇总统计",'[5]阶段质量审核工作报告'!$A:$A,0)+1,2)+INDEX('[5]阶段质量审核工作报告'!$A:$L,MATCH("阶段汇总统计",'[5]阶段质量审核工作报告'!$A:$A,0)+1,4),0)</f>
        <v/>
      </c>
      <c r="C8">
        <f>IFERROR(INDEX('[5]阶段质量审核工作报告'!$A:$L,MATCH("阶段汇总统计",'[5]阶段质量审核工作报告'!$A:$A,0)+1,8),0)</f>
        <v/>
      </c>
      <c r="D8">
        <f>IFERROR(INDEX('[5]阶段质量审核工作报告'!$A:$L,MATCH("阶段汇总统计",'[5]阶段质量审核工作报告'!$A:$A,0)+1,10),0)</f>
        <v/>
      </c>
      <c r="E8">
        <f>IFERROR(INDEX('[5]阶段质量审核工作报告'!$A:$L,MATCH("阶段汇总统计",'[5]阶段质量审核工作报告'!$A:$A,0)+1,12),0)</f>
        <v/>
      </c>
      <c r="F8">
        <f>IFERROR(INDEX('[5]阶段质量审核工作报告'!$A:$J,MATCH("RDM",'[5]阶段质量审核工作报告'!$A:$A,0)+1,1),0)</f>
        <v/>
      </c>
      <c r="G8">
        <f>IFERROR(INDEX('[5]阶段质量审核工作报告'!$A:$J,MATCH("PP",'[5]阶段质量审核工作报告'!$A:$A,0)+1,1),0)</f>
        <v/>
      </c>
      <c r="H8">
        <f>IFERROR(INDEX('[5]阶段质量审核工作报告'!$A:$J,MATCH("PMC",'[5]阶段质量审核工作报告'!$A:$A,0)+1,1),0)</f>
        <v/>
      </c>
      <c r="I8">
        <f>IFERROR(INDEX('[5]阶段质量审核工作报告'!$A:$J,MATCH("CM",'[5]阶段质量审核工作报告'!$A:$A,0)+1,1),0)</f>
        <v/>
      </c>
      <c r="J8">
        <f>IFERROR(INDEX('[5]阶段质量审核工作报告'!$A:$J,MATCH("MT",'[5]阶段质量审核工作报告'!$A:$A,0)+1,1),0)</f>
        <v/>
      </c>
      <c r="K8">
        <f>IFERROR(INDEX('[5]阶段质量审核工作报告'!$A:$J,MATCH("MPM",'[5]阶段质量审核工作报告'!$A:$A,0)+1,1),0)</f>
        <v/>
      </c>
      <c r="L8">
        <f>IFERROR(INDEX('[5]阶段质量审核工作报告'!$A:$J,MATCH("VV",'[5]阶段质量审核工作报告'!$A:$A,0)+1,1),0)</f>
        <v/>
      </c>
      <c r="M8">
        <f>IFERROR(INDEX('[5]阶段质量审核工作报告'!$A:$J,MATCH("LD",'[5]阶段质量审核工作报告'!$A:$A,0)+1,1),0)</f>
        <v/>
      </c>
      <c r="N8">
        <f>IFERROR(INDEX('[5]阶段质量审核工作报告'!$A:$J,MATCH("II",'[5]阶段质量审核工作报告'!$A:$A,0)+1,1),0)</f>
        <v/>
      </c>
      <c r="O8">
        <f>IFERROR(INDEX('[5]阶段质量审核工作报告'!$A:$J,MATCH("工作产品",'[5]阶段质量审核工作报告'!$A:$A,0)+1,1),0)</f>
        <v/>
      </c>
      <c r="Q8" s="3" t="inlineStr">
        <is>
          <t>MT</t>
        </is>
      </c>
      <c r="R8" s="3">
        <f>J10</f>
        <v/>
      </c>
      <c r="S8" s="4">
        <f>IFERROR(R8/$B$10,0)</f>
        <v/>
      </c>
    </row>
    <row r="9">
      <c r="A9" t="inlineStr">
        <is>
          <t>验收与交付</t>
        </is>
      </c>
      <c r="B9">
        <f>IFERROR(INDEX('[6]阶段质量审核工作报告'!$A:$L,MATCH("阶段汇总统计",'[6]阶段质量审核工作报告'!$A:$A,0)+1,2)+INDEX('[6]阶段质量审核工作报告'!$A:$L,MATCH("阶段汇总统计",'[6]阶段质量审核工作报告'!$A:$A,0)+1,4),0)</f>
        <v/>
      </c>
      <c r="C9">
        <f>IFERROR(INDEX('[6]阶段质量审核工作报告'!$A:$L,MATCH("阶段汇总统计",'[6]阶段质量审核工作报告'!$A:$A,0)+1,8),0)</f>
        <v/>
      </c>
      <c r="D9">
        <f>IFERROR(INDEX('[6]阶段质量审核工作报告'!$A:$L,MATCH("阶段汇总统计",'[6]阶段质量审核工作报告'!$A:$A,0)+1,10),0)</f>
        <v/>
      </c>
      <c r="E9">
        <f>IFERROR(INDEX('[6]阶段质量审核工作报告'!$A:$L,MATCH("阶段汇总统计",'[6]阶段质量审核工作报告'!$A:$A,0)+1,12),0)</f>
        <v/>
      </c>
      <c r="F9">
        <f>IFERROR(INDEX('[6]阶段质量审核工作报告'!$A:$J,MATCH("RDM",'[6]阶段质量审核工作报告'!$A:$A,0)+1,1),0)</f>
        <v/>
      </c>
      <c r="G9">
        <f>IFERROR(INDEX('[6]阶段质量审核工作报告'!$A:$J,MATCH("PP",'[6]阶段质量审核工作报告'!$A:$A,0)+1,1),0)</f>
        <v/>
      </c>
      <c r="H9">
        <f>IFERROR(INDEX('[6]阶段质量审核工作报告'!$A:$J,MATCH("PMC",'[6]阶段质量审核工作报告'!$A:$A,0)+1,1),0)</f>
        <v/>
      </c>
      <c r="I9">
        <f>IFERROR(INDEX('[6]阶段质量审核工作报告'!$A:$J,MATCH("CM",'[6]阶段质量审核工作报告'!$A:$A,0)+1,1),0)</f>
        <v/>
      </c>
      <c r="J9">
        <f>IFERROR(INDEX('[6]阶段质量审核工作报告'!$A:$J,MATCH("MT",'[6]阶段质量审核工作报告'!$A:$A,0)+1,1),0)</f>
        <v/>
      </c>
      <c r="K9">
        <f>IFERROR(INDEX('[6]阶段质量审核工作报告'!$A:$J,MATCH("MPM",'[6]阶段质量审核工作报告'!$A:$A,0)+1,1),0)</f>
        <v/>
      </c>
      <c r="L9">
        <f>IFERROR(INDEX('[6]阶段质量审核工作报告'!$A:$J,MATCH("VV",'[6]阶段质量审核工作报告'!$A:$A,0)+1,1),0)</f>
        <v/>
      </c>
      <c r="M9">
        <f>IFERROR(INDEX('[6]阶段质量审核工作报告'!$A:$J,MATCH("LD",'[6]阶段质量审核工作报告'!$A:$A,0)+1,1),0)</f>
        <v/>
      </c>
      <c r="N9">
        <f>IFERROR(INDEX('[6]阶段质量审核工作报告'!$A:$J,MATCH("II",'[6]阶段质量审核工作报告'!$A:$A,0)+1,1),0)</f>
        <v/>
      </c>
      <c r="O9">
        <f>IFERROR(INDEX('[6]阶段质量审核工作报告'!$A:$J,MATCH("工作产品",'[6]阶段质量审核工作报告'!$A:$A,0)+1,1),0)</f>
        <v/>
      </c>
      <c r="Q9" s="3" t="inlineStr">
        <is>
          <t>MPM</t>
        </is>
      </c>
      <c r="R9" s="3">
        <f>K10</f>
        <v/>
      </c>
      <c r="S9" s="4">
        <f>IFERROR(R9/$B$10,0)</f>
        <v/>
      </c>
    </row>
    <row r="10">
      <c r="A10" s="2" t="inlineStr">
        <is>
          <t>合计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  <c r="G10" s="2">
        <f>SUM(G4:G9)</f>
        <v/>
      </c>
      <c r="H10" s="2">
        <f>SUM(H4:H9)</f>
        <v/>
      </c>
      <c r="I10" s="2">
        <f>SUM(I4:I9)</f>
        <v/>
      </c>
      <c r="J10" s="2">
        <f>SUM(J4:J9)</f>
        <v/>
      </c>
      <c r="K10" s="2">
        <f>SUM(K4:K9)</f>
        <v/>
      </c>
      <c r="L10" s="2">
        <f>SUM(L4:L9)</f>
        <v/>
      </c>
      <c r="M10" s="2">
        <f>SUM(M4:M9)</f>
        <v/>
      </c>
      <c r="N10" s="2">
        <f>SUM(N4:N9)</f>
        <v/>
      </c>
      <c r="O10" s="2">
        <f>SUM(O4:O9)</f>
        <v/>
      </c>
      <c r="Q10" s="3" t="inlineStr">
        <is>
          <t>VV</t>
        </is>
      </c>
      <c r="R10" s="3">
        <f>L10</f>
        <v/>
      </c>
      <c r="S10" s="4">
        <f>IFERROR(R10/$B$10,0)</f>
        <v/>
      </c>
    </row>
    <row r="11">
      <c r="Q11" s="3" t="inlineStr">
        <is>
          <t>LD</t>
        </is>
      </c>
      <c r="R11" s="3">
        <f>M10</f>
        <v/>
      </c>
      <c r="S11" s="4">
        <f>IFERROR(R11/$B$10,0)</f>
        <v/>
      </c>
    </row>
    <row r="12">
      <c r="A12" s="3">
        <f>IF(B10=0,"当前项目未发现不符合项。","当前项目共发现"&amp;B10&amp;"项不符合项，其中严重"&amp;E10&amp;"项。")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Q12" s="3" t="inlineStr">
        <is>
          <t>II</t>
        </is>
      </c>
      <c r="R12" s="3">
        <f>N10</f>
        <v/>
      </c>
      <c r="S12" s="4">
        <f>IFERROR(R12/$B$10,0)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Q13" s="3" t="inlineStr">
        <is>
          <t>工作产品</t>
        </is>
      </c>
      <c r="R13" s="3">
        <f>O10</f>
        <v/>
      </c>
      <c r="S13" s="4">
        <f>IFERROR(R13/$B$10,0)</f>
        <v/>
      </c>
    </row>
  </sheetData>
  <mergeCells count="2">
    <mergeCell ref="A1:O1"/>
    <mergeCell ref="A12:O13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2026-08-21T13:56:35Z</dcterms:created>
  <dcterms:modified xmlns:dcterms="http://purl.org/dc/terms/" xmlns:xsi="http://www.w3.org/2001/XMLSchema-instance" xsi:type="dcterms:W3CDTF">2026-08-21T13:56:35Z</dcterms:modified>
</cp:coreProperties>
</file>