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19-审核项目策划过程" sheetId="3" state="visible" r:id="rId3"/>
    <sheet xmlns:r="http://schemas.openxmlformats.org/officeDocument/2006/relationships" name="R019-审核项目策划过程" sheetId="4" state="visible" r:id="rId4"/>
    <sheet xmlns:r="http://schemas.openxmlformats.org/officeDocument/2006/relationships" name="C020-相控阵数字样机软件设计说明" sheetId="5" state="visible" r:id="rId5"/>
    <sheet xmlns:r="http://schemas.openxmlformats.org/officeDocument/2006/relationships" name="R020-相控阵数字样机软件设计说明" sheetId="6" state="visible" r:id="rId6"/>
    <sheet xmlns:r="http://schemas.openxmlformats.org/officeDocument/2006/relationships" name="C021-相控阵数字样机软件接口设计说明" sheetId="7" state="visible" r:id="rId7"/>
    <sheet xmlns:r="http://schemas.openxmlformats.org/officeDocument/2006/relationships" name="R021-相控阵数字样机软件接口设计说明" sheetId="8" state="visible" r:id="rId8"/>
    <sheet xmlns:r="http://schemas.openxmlformats.org/officeDocument/2006/relationships" name="C022-相控阵数字样机软件单元测试计划" sheetId="9" state="visible" r:id="rId9"/>
    <sheet xmlns:r="http://schemas.openxmlformats.org/officeDocument/2006/relationships" name="R022-相控阵数字样机软件单元测试计划" sheetId="10" state="visible" r:id="rId10"/>
    <sheet xmlns:r="http://schemas.openxmlformats.org/officeDocument/2006/relationships" name="C023-审核验证与确认过程" sheetId="11" state="visible" r:id="rId11"/>
    <sheet xmlns:r="http://schemas.openxmlformats.org/officeDocument/2006/relationships" name="R023-审核验证与确认过程" sheetId="12" state="visible" r:id="rId12"/>
    <sheet xmlns:r="http://schemas.openxmlformats.org/officeDocument/2006/relationships" name="C024-审核需求开发与管理过程" sheetId="13" state="visible" r:id="rId13"/>
    <sheet xmlns:r="http://schemas.openxmlformats.org/officeDocument/2006/relationships" name="R024-审核需求开发与管理过程" sheetId="14" state="visible" r:id="rId14"/>
    <sheet xmlns:r="http://schemas.openxmlformats.org/officeDocument/2006/relationships" name="C025-审核配置管理-阶段" sheetId="15" state="visible" r:id="rId15"/>
    <sheet xmlns:r="http://schemas.openxmlformats.org/officeDocument/2006/relationships" name="R025-审核配置管理-阶段" sheetId="16" state="visible" r:id="rId16"/>
    <sheet xmlns:r="http://schemas.openxmlformats.org/officeDocument/2006/relationships" name="C026-审核项目监控-阶段" sheetId="17" state="visible" r:id="rId17"/>
    <sheet xmlns:r="http://schemas.openxmlformats.org/officeDocument/2006/relationships" name="R026-审核项目监控-阶段" sheetId="18" state="visible" r:id="rId18"/>
    <sheet xmlns:r="http://schemas.openxmlformats.org/officeDocument/2006/relationships" name="C027-审核测量与绩效管理-阶段" sheetId="19" state="visible" r:id="rId19"/>
    <sheet xmlns:r="http://schemas.openxmlformats.org/officeDocument/2006/relationships" name="R02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'阶段质量审核工作报告'!$A$1:$L$27</definedName>
    <definedName name="_xlnm.Print_Titles" localSheetId="2">'C019-审核项目策划过程'!$1:$6</definedName>
    <definedName name="_xlnm.Print_Area" localSheetId="2">'C019-审核项目策划过程'!$A$1:$L$38</definedName>
    <definedName name="_xlnm.Print_Titles" localSheetId="3">'R019-审核项目策划过程'!$1:$12</definedName>
    <definedName name="_xlnm.Print_Area" localSheetId="3">'R019-审核项目策划过程'!$B$1:$K$18</definedName>
    <definedName name="_xlnm.Print_Titles" localSheetId="4">'C020-相控阵数字样机软件设计说明'!$1:$6</definedName>
    <definedName name="_xlnm.Print_Area" localSheetId="4">'C020-相控阵数字样机软件设计说明'!$A$1:$L$27</definedName>
    <definedName name="_xlnm.Print_Titles" localSheetId="5">'R020-相控阵数字样机软件设计说明'!$1:$12</definedName>
    <definedName name="_xlnm.Print_Area" localSheetId="5">'R020-相控阵数字样机软件设计说明'!$B$1:$K$17</definedName>
    <definedName name="_xlnm.Print_Titles" localSheetId="6">'C021-相控阵数字样机软件接口设计说明'!$1:$6</definedName>
    <definedName name="_xlnm.Print_Area" localSheetId="6">'C021-相控阵数字样机软件接口设计说明'!$A$1:$L$27</definedName>
    <definedName name="_xlnm.Print_Titles" localSheetId="7">'R021-相控阵数字样机软件接口设计说明'!$1:$12</definedName>
    <definedName name="_xlnm.Print_Area" localSheetId="7">'R021-相控阵数字样机软件接口设计说明'!$B$1:$K$17</definedName>
    <definedName name="_xlnm.Print_Titles" localSheetId="8">'C022-相控阵数字样机软件单元测试计划'!$1:$6</definedName>
    <definedName name="_xlnm.Print_Area" localSheetId="8">'C022-相控阵数字样机软件单元测试计划'!$A$1:$L$21</definedName>
    <definedName name="_xlnm.Print_Titles" localSheetId="9">'R022-相控阵数字样机软件单元测试计划'!$1:$12</definedName>
    <definedName name="_xlnm.Print_Area" localSheetId="9">'R022-相控阵数字样机软件单元测试计划'!$B$1:$K$17</definedName>
    <definedName name="_xlnm.Print_Titles" localSheetId="10">'C023-审核验证与确认过程'!$1:$6</definedName>
    <definedName name="_xlnm.Print_Area" localSheetId="10">'C023-审核验证与确认过程'!$A$1:$L$38</definedName>
    <definedName name="_xlnm.Print_Titles" localSheetId="11">'R023-审核验证与确认过程'!$1:$12</definedName>
    <definedName name="_xlnm.Print_Area" localSheetId="11">'R023-审核验证与确认过程'!$B$1:$K$17</definedName>
    <definedName name="_xlnm.Print_Titles" localSheetId="12">'C024-审核需求开发与管理过程'!$1:$6</definedName>
    <definedName name="_xlnm.Print_Area" localSheetId="12">'C024-审核需求开发与管理过程'!$A$1:$L$42</definedName>
    <definedName name="_xlnm.Print_Titles" localSheetId="13">'R024-审核需求开发与管理过程'!$1:$12</definedName>
    <definedName name="_xlnm.Print_Area" localSheetId="13">'R024-审核需求开发与管理过程'!$B$1:$K$18</definedName>
    <definedName name="_xlnm.Print_Titles" localSheetId="14">'C025-审核配置管理-阶段'!$1:$6</definedName>
    <definedName name="_xlnm.Print_Area" localSheetId="14">'C025-审核配置管理-阶段'!$A$1:$L$33</definedName>
    <definedName name="_xlnm.Print_Titles" localSheetId="15">'R025-审核配置管理-阶段'!$1:$12</definedName>
    <definedName name="_xlnm.Print_Area" localSheetId="15">'R025-审核配置管理-阶段'!$B$1:$K$17</definedName>
    <definedName name="_xlnm.Print_Titles" localSheetId="16">'C026-审核项目监控-阶段'!$1:$6</definedName>
    <definedName name="_xlnm.Print_Area" localSheetId="16">'C026-审核项目监控-阶段'!$A$1:$L$46</definedName>
    <definedName name="_xlnm.Print_Titles" localSheetId="17">'R026-审核项目监控-阶段'!$1:$12</definedName>
    <definedName name="_xlnm.Print_Area" localSheetId="17">'R026-审核项目监控-阶段'!$B$1:$K$18</definedName>
    <definedName name="_xlnm.Print_Titles" localSheetId="18">'C027-审核测量与绩效管理-阶段'!$1:$6</definedName>
    <definedName name="_xlnm.Print_Area" localSheetId="18">'C027-审核测量与绩效管理-阶段'!$A$1:$L$27</definedName>
    <definedName name="_xlnm.Print_Titles" localSheetId="19">'R027-审核测量与绩效管理-阶段'!$1:$12</definedName>
    <definedName name="_xlnm.Print_Area" localSheetId="19">'R027-审核测量与绩效管理-阶段'!$B$1:$K$18</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19-&#23457;&#26680;&#39033;&#30446;&#31574;&#21010;&#36807;&#31243;'!A1" TargetMode="External" Id="rId1"/><Relationship Type="http://schemas.openxmlformats.org/officeDocument/2006/relationships/hyperlink" Target="#'R019-&#23457;&#26680;&#39033;&#30446;&#31574;&#21010;&#36807;&#31243;'!A1" TargetMode="External" Id="rId2"/><Relationship Type="http://schemas.openxmlformats.org/officeDocument/2006/relationships/hyperlink" Target="#'C020-&#30456;&#25511;&#38453;&#25968;&#23383;&#26679;&#26426;&#36719;&#20214;&#35774;&#35745;&#35828;&#26126;'!A1" TargetMode="External" Id="rId3"/><Relationship Type="http://schemas.openxmlformats.org/officeDocument/2006/relationships/hyperlink" Target="#'R020-&#30456;&#25511;&#38453;&#25968;&#23383;&#26679;&#26426;&#36719;&#20214;&#35774;&#35745;&#35828;&#26126;'!A1" TargetMode="External" Id="rId4"/><Relationship Type="http://schemas.openxmlformats.org/officeDocument/2006/relationships/hyperlink" Target="#'C021-&#30456;&#25511;&#38453;&#25968;&#23383;&#26679;&#26426;&#36719;&#20214;&#25509;&#21475;&#35774;&#35745;&#35828;&#26126;'!A1" TargetMode="External" Id="rId5"/><Relationship Type="http://schemas.openxmlformats.org/officeDocument/2006/relationships/hyperlink" Target="#'R021-&#30456;&#25511;&#38453;&#25968;&#23383;&#26679;&#26426;&#36719;&#20214;&#25509;&#21475;&#35774;&#35745;&#35828;&#26126;'!A1" TargetMode="External" Id="rId6"/><Relationship Type="http://schemas.openxmlformats.org/officeDocument/2006/relationships/hyperlink" Target="#'C022-&#30456;&#25511;&#38453;&#25968;&#23383;&#26679;&#26426;&#36719;&#20214;&#21333;&#20803;&#27979;&#35797;&#35745;&#21010;'!A1" TargetMode="External" Id="rId7"/><Relationship Type="http://schemas.openxmlformats.org/officeDocument/2006/relationships/hyperlink" Target="#'R022-&#30456;&#25511;&#38453;&#25968;&#23383;&#26679;&#26426;&#36719;&#20214;&#21333;&#20803;&#27979;&#35797;&#35745;&#21010;'!A1" TargetMode="External" Id="rId8"/><Relationship Type="http://schemas.openxmlformats.org/officeDocument/2006/relationships/hyperlink" Target="#'C023-&#23457;&#26680;&#39564;&#35777;&#19982;&#30830;&#35748;&#36807;&#31243;'!A1" TargetMode="External" Id="rId9"/><Relationship Type="http://schemas.openxmlformats.org/officeDocument/2006/relationships/hyperlink" Target="#'R023-&#23457;&#26680;&#39564;&#35777;&#19982;&#30830;&#35748;&#36807;&#31243;'!A1" TargetMode="External" Id="rId10"/><Relationship Type="http://schemas.openxmlformats.org/officeDocument/2006/relationships/hyperlink" Target="#'C024-&#23457;&#26680;&#38656;&#27714;&#24320;&#21457;&#19982;&#31649;&#29702;&#36807;&#31243;'!A1" TargetMode="External" Id="rId11"/><Relationship Type="http://schemas.openxmlformats.org/officeDocument/2006/relationships/hyperlink" Target="#'R024-&#23457;&#26680;&#38656;&#27714;&#24320;&#21457;&#19982;&#31649;&#29702;&#36807;&#31243;'!A1" TargetMode="External" Id="rId12"/><Relationship Type="http://schemas.openxmlformats.org/officeDocument/2006/relationships/hyperlink" Target="#'C025-&#23457;&#26680;&#37197;&#32622;&#31649;&#29702;-&#38454;&#27573;'!A1" TargetMode="External" Id="rId13"/><Relationship Type="http://schemas.openxmlformats.org/officeDocument/2006/relationships/hyperlink" Target="#'R025-&#23457;&#26680;&#37197;&#32622;&#31649;&#29702;-&#38454;&#27573;'!A1" TargetMode="External" Id="rId14"/><Relationship Type="http://schemas.openxmlformats.org/officeDocument/2006/relationships/hyperlink" Target="#'C026-&#23457;&#26680;&#39033;&#30446;&#30417;&#25511;-&#38454;&#27573;'!A1" TargetMode="External" Id="rId15"/><Relationship Type="http://schemas.openxmlformats.org/officeDocument/2006/relationships/hyperlink" Target="#'R026-&#23457;&#26680;&#39033;&#30446;&#30417;&#25511;-&#38454;&#27573;'!A1" TargetMode="External" Id="rId16"/><Relationship Type="http://schemas.openxmlformats.org/officeDocument/2006/relationships/hyperlink" Target="#'C027-&#23457;&#26680;&#27979;&#37327;&#19982;&#32489;&#25928;&#31649;&#29702;-&#38454;&#27573;'!A1" TargetMode="External" Id="rId17"/><Relationship Type="http://schemas.openxmlformats.org/officeDocument/2006/relationships/hyperlink" Target="#'R02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阶段：软件设计阶段</t>
        </is>
      </c>
      <c r="D2" s="3" t="n"/>
    </row>
    <row r="4">
      <c r="A4" s="4" t="inlineStr">
        <is>
          <t>流水号</t>
        </is>
      </c>
      <c r="B4" s="4" t="inlineStr">
        <is>
          <t>审核对象</t>
        </is>
      </c>
      <c r="C4" s="4" t="inlineStr">
        <is>
          <t>检查单</t>
        </is>
      </c>
      <c r="D4" s="4" t="inlineStr">
        <is>
          <t>审核报告</t>
        </is>
      </c>
    </row>
    <row r="5" ht="18" customHeight="1">
      <c r="A5" s="3" t="n">
        <v>19</v>
      </c>
      <c r="B5" s="3" t="inlineStr">
        <is>
          <t>审核项目策划过程</t>
        </is>
      </c>
      <c r="C5" s="5" t="inlineStr">
        <is>
          <t>打开检查单</t>
        </is>
      </c>
      <c r="D5" s="5" t="inlineStr">
        <is>
          <t>打开审核报告</t>
        </is>
      </c>
    </row>
    <row r="6" ht="18" customHeight="1">
      <c r="A6" s="3" t="n">
        <v>20</v>
      </c>
      <c r="B6" s="3" t="inlineStr">
        <is>
          <t>相控阵数字样机软件设计说明</t>
        </is>
      </c>
      <c r="C6" s="5" t="inlineStr">
        <is>
          <t>打开检查单</t>
        </is>
      </c>
      <c r="D6" s="5" t="inlineStr">
        <is>
          <t>打开审核报告</t>
        </is>
      </c>
    </row>
    <row r="7" ht="18" customHeight="1">
      <c r="A7" s="3" t="n">
        <v>21</v>
      </c>
      <c r="B7" s="3" t="inlineStr">
        <is>
          <t>相控阵数字样机软件接口设计说明</t>
        </is>
      </c>
      <c r="C7" s="5" t="inlineStr">
        <is>
          <t>打开检查单</t>
        </is>
      </c>
      <c r="D7" s="5" t="inlineStr">
        <is>
          <t>打开审核报告</t>
        </is>
      </c>
    </row>
    <row r="8" ht="18" customHeight="1">
      <c r="A8" s="3" t="n">
        <v>22</v>
      </c>
      <c r="B8" s="3" t="inlineStr">
        <is>
          <t>相控阵数字样机软件单元测试计划</t>
        </is>
      </c>
      <c r="C8" s="5" t="inlineStr">
        <is>
          <t>打开检查单</t>
        </is>
      </c>
      <c r="D8" s="5" t="inlineStr">
        <is>
          <t>打开审核报告</t>
        </is>
      </c>
    </row>
    <row r="9" ht="18" customHeight="1">
      <c r="A9" s="3" t="n">
        <v>23</v>
      </c>
      <c r="B9" s="3" t="inlineStr">
        <is>
          <t>审核验证与确认过程</t>
        </is>
      </c>
      <c r="C9" s="5" t="inlineStr">
        <is>
          <t>打开检查单</t>
        </is>
      </c>
      <c r="D9" s="5" t="inlineStr">
        <is>
          <t>打开审核报告</t>
        </is>
      </c>
    </row>
    <row r="10" ht="18" customHeight="1">
      <c r="A10" s="3" t="n">
        <v>24</v>
      </c>
      <c r="B10" s="3" t="inlineStr">
        <is>
          <t>审核需求开发与管理过程</t>
        </is>
      </c>
      <c r="C10" s="5" t="inlineStr">
        <is>
          <t>打开检查单</t>
        </is>
      </c>
      <c r="D10" s="5" t="inlineStr">
        <is>
          <t>打开审核报告</t>
        </is>
      </c>
    </row>
    <row r="11" ht="18" customHeight="1">
      <c r="A11" s="3" t="n">
        <v>25</v>
      </c>
      <c r="B11" s="3" t="inlineStr">
        <is>
          <t>审核配置管理-阶段</t>
        </is>
      </c>
      <c r="C11" s="5" t="inlineStr">
        <is>
          <t>打开检查单</t>
        </is>
      </c>
      <c r="D11" s="5" t="inlineStr">
        <is>
          <t>打开审核报告</t>
        </is>
      </c>
    </row>
    <row r="12" ht="18" customHeight="1">
      <c r="A12" s="3" t="n">
        <v>26</v>
      </c>
      <c r="B12" s="3" t="inlineStr">
        <is>
          <t>审核项目监控-阶段</t>
        </is>
      </c>
      <c r="C12" s="5" t="inlineStr">
        <is>
          <t>打开检查单</t>
        </is>
      </c>
      <c r="D12" s="5" t="inlineStr">
        <is>
          <t>打开审核报告</t>
        </is>
      </c>
    </row>
    <row r="13" ht="18" customHeight="1">
      <c r="A13" s="3" t="n">
        <v>27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7"/>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软件设计阶段</t>
        </is>
      </c>
      <c r="J3" s="3" t="n"/>
      <c r="K3" s="3" t="n"/>
      <c r="L3" s="3" t="n"/>
    </row>
    <row r="4">
      <c r="A4" s="4" t="inlineStr">
        <is>
          <t>报告起止日期</t>
        </is>
      </c>
      <c r="B4" s="4" t="n"/>
      <c r="C4" s="3" t="inlineStr">
        <is>
          <t>2026-01-26 至 2026-02-09</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阶段汇总：2026-02-09</t>
        </is>
      </c>
      <c r="B8" s="6" t="n"/>
      <c r="C8" s="6" t="n"/>
      <c r="D8" s="6" t="n"/>
      <c r="E8" s="6" t="n"/>
      <c r="F8" s="6" t="n"/>
      <c r="G8" s="6" t="n"/>
      <c r="H8" s="6" t="n"/>
      <c r="I8" s="6" t="n"/>
      <c r="J8" s="6" t="n"/>
      <c r="K8" s="6" t="n"/>
      <c r="L8" s="6" t="n"/>
    </row>
    <row r="9" ht="30" customHeight="1">
      <c r="A9" s="3" t="n">
        <v>19</v>
      </c>
      <c r="B9" s="3">
        <f>'_计算'!B2</f>
        <v/>
      </c>
      <c r="C9" s="3" t="inlineStr">
        <is>
          <t>2026-01-27</t>
        </is>
      </c>
      <c r="D9" s="3" t="inlineStr">
        <is>
          <t>阶段</t>
        </is>
      </c>
      <c r="E9" s="3">
        <f>'_计算'!D2</f>
        <v/>
      </c>
      <c r="F9" s="3">
        <f>'_计算'!E2</f>
        <v/>
      </c>
      <c r="G9" s="3" t="n"/>
      <c r="H9" s="3" t="n"/>
      <c r="I9" s="3" t="n"/>
      <c r="J9" s="3">
        <f>'_计算'!F2</f>
        <v/>
      </c>
      <c r="K9" s="3">
        <f>'_计算'!G2</f>
        <v/>
      </c>
      <c r="L9" s="3" t="inlineStr">
        <is>
          <t>未确认</t>
        </is>
      </c>
    </row>
    <row r="10" ht="30" customHeight="1">
      <c r="A10" s="3" t="n">
        <v>19</v>
      </c>
      <c r="B10" s="3">
        <f>'_计算'!B3</f>
        <v/>
      </c>
      <c r="C10" s="3" t="inlineStr">
        <is>
          <t>2026-01-27</t>
        </is>
      </c>
      <c r="D10" s="3" t="inlineStr">
        <is>
          <t>阶段</t>
        </is>
      </c>
      <c r="E10" s="3">
        <f>'_计算'!D3</f>
        <v/>
      </c>
      <c r="F10" s="3">
        <f>'_计算'!E3</f>
        <v/>
      </c>
      <c r="G10" s="3" t="n"/>
      <c r="H10" s="3" t="n"/>
      <c r="I10" s="3" t="n"/>
      <c r="J10" s="3">
        <f>'_计算'!F3</f>
        <v/>
      </c>
      <c r="K10" s="3">
        <f>'_计算'!G3</f>
        <v/>
      </c>
      <c r="L10" s="3" t="inlineStr">
        <is>
          <t>未确认</t>
        </is>
      </c>
    </row>
    <row r="11" ht="30" customHeight="1">
      <c r="A11" s="3" t="n">
        <v>20</v>
      </c>
      <c r="B11" s="3">
        <f>'_计算'!B4</f>
        <v/>
      </c>
      <c r="C11" s="3" t="inlineStr">
        <is>
          <t>2026-02-02</t>
        </is>
      </c>
      <c r="D11" s="3" t="inlineStr">
        <is>
          <t>阶段</t>
        </is>
      </c>
      <c r="E11" s="3">
        <f>'_计算'!D4</f>
        <v/>
      </c>
      <c r="F11" s="3">
        <f>'_计算'!E4</f>
        <v/>
      </c>
      <c r="G11" s="3" t="n"/>
      <c r="H11" s="3" t="n"/>
      <c r="I11" s="3" t="n"/>
      <c r="J11" s="3">
        <f>'_计算'!F4</f>
        <v/>
      </c>
      <c r="K11" s="3">
        <f>'_计算'!G4</f>
        <v/>
      </c>
      <c r="L11" s="3" t="inlineStr">
        <is>
          <t>未确认</t>
        </is>
      </c>
    </row>
    <row r="12" ht="30" customHeight="1">
      <c r="A12" s="3" t="n">
        <v>21</v>
      </c>
      <c r="B12" s="3" t="inlineStr">
        <is>
          <t>相控阵数字样机软件接口设计说明</t>
        </is>
      </c>
      <c r="C12" s="3" t="inlineStr">
        <is>
          <t>2026-02-02</t>
        </is>
      </c>
      <c r="D12" s="3" t="inlineStr">
        <is>
          <t>阶段</t>
        </is>
      </c>
      <c r="E12" s="3" t="n"/>
      <c r="F12" s="3" t="inlineStr">
        <is>
          <t>未发现不符合项</t>
        </is>
      </c>
      <c r="G12" s="3" t="n"/>
      <c r="H12" s="3" t="n"/>
      <c r="I12" s="3" t="n"/>
      <c r="J12" s="3" t="n"/>
      <c r="K12" s="3" t="n"/>
      <c r="L12" s="3" t="inlineStr">
        <is>
          <t>未确认</t>
        </is>
      </c>
    </row>
    <row r="13" ht="30" customHeight="1">
      <c r="A13" s="3" t="n">
        <v>22</v>
      </c>
      <c r="B13" s="3" t="inlineStr">
        <is>
          <t>相控阵数字样机软件单元测试计划</t>
        </is>
      </c>
      <c r="C13" s="3" t="inlineStr">
        <is>
          <t>2026-02-05</t>
        </is>
      </c>
      <c r="D13" s="3" t="inlineStr">
        <is>
          <t>阶段</t>
        </is>
      </c>
      <c r="E13" s="3" t="n"/>
      <c r="F13" s="3" t="inlineStr">
        <is>
          <t>未发现不符合项</t>
        </is>
      </c>
      <c r="G13" s="3" t="n"/>
      <c r="H13" s="3" t="n"/>
      <c r="I13" s="3" t="n"/>
      <c r="J13" s="3" t="n"/>
      <c r="K13" s="3" t="n"/>
      <c r="L13" s="3" t="inlineStr">
        <is>
          <t>未确认</t>
        </is>
      </c>
    </row>
    <row r="14" ht="18" customHeight="1">
      <c r="A14" s="3" t="n">
        <v>23</v>
      </c>
      <c r="B14" s="3" t="inlineStr">
        <is>
          <t>审核验证与确认过程</t>
        </is>
      </c>
      <c r="C14" s="3" t="inlineStr">
        <is>
          <t>2026-02-09</t>
        </is>
      </c>
      <c r="D14" s="3" t="inlineStr">
        <is>
          <t>阶段</t>
        </is>
      </c>
      <c r="E14" s="3" t="n"/>
      <c r="F14" s="3" t="inlineStr">
        <is>
          <t>未发现不符合项</t>
        </is>
      </c>
      <c r="G14" s="3" t="n"/>
      <c r="H14" s="3" t="n"/>
      <c r="I14" s="3" t="n"/>
      <c r="J14" s="3" t="n"/>
      <c r="K14" s="3" t="n"/>
      <c r="L14" s="3" t="inlineStr">
        <is>
          <t>未确认</t>
        </is>
      </c>
    </row>
    <row r="15" ht="30" customHeight="1">
      <c r="A15" s="3" t="n">
        <v>24</v>
      </c>
      <c r="B15" s="3">
        <f>'_计算'!B5</f>
        <v/>
      </c>
      <c r="C15" s="3" t="inlineStr">
        <is>
          <t>2026-02-09</t>
        </is>
      </c>
      <c r="D15" s="3" t="inlineStr">
        <is>
          <t>阶段</t>
        </is>
      </c>
      <c r="E15" s="3">
        <f>'_计算'!D5</f>
        <v/>
      </c>
      <c r="F15" s="3">
        <f>'_计算'!E5</f>
        <v/>
      </c>
      <c r="G15" s="3" t="n"/>
      <c r="H15" s="3" t="n"/>
      <c r="I15" s="3" t="n"/>
      <c r="J15" s="3">
        <f>'_计算'!F5</f>
        <v/>
      </c>
      <c r="K15" s="3">
        <f>'_计算'!G5</f>
        <v/>
      </c>
      <c r="L15" s="3" t="inlineStr">
        <is>
          <t>未确认</t>
        </is>
      </c>
    </row>
    <row r="16" ht="30" customHeight="1">
      <c r="A16" s="3" t="n">
        <v>24</v>
      </c>
      <c r="B16" s="3">
        <f>'_计算'!B6</f>
        <v/>
      </c>
      <c r="C16" s="3" t="inlineStr">
        <is>
          <t>2026-02-09</t>
        </is>
      </c>
      <c r="D16" s="3" t="inlineStr">
        <is>
          <t>阶段</t>
        </is>
      </c>
      <c r="E16" s="3">
        <f>'_计算'!D6</f>
        <v/>
      </c>
      <c r="F16" s="3">
        <f>'_计算'!E6</f>
        <v/>
      </c>
      <c r="G16" s="3" t="n"/>
      <c r="H16" s="3" t="n"/>
      <c r="I16" s="3" t="n"/>
      <c r="J16" s="3">
        <f>'_计算'!F6</f>
        <v/>
      </c>
      <c r="K16" s="3">
        <f>'_计算'!G6</f>
        <v/>
      </c>
      <c r="L16" s="3" t="inlineStr">
        <is>
          <t>未确认</t>
        </is>
      </c>
    </row>
    <row r="17" ht="30" customHeight="1">
      <c r="A17" s="3" t="n">
        <v>25</v>
      </c>
      <c r="B17" s="3">
        <f>'_计算'!B7</f>
        <v/>
      </c>
      <c r="C17" s="3" t="inlineStr">
        <is>
          <t>2026-02-09</t>
        </is>
      </c>
      <c r="D17" s="3" t="inlineStr">
        <is>
          <t>阶段</t>
        </is>
      </c>
      <c r="E17" s="3">
        <f>'_计算'!D7</f>
        <v/>
      </c>
      <c r="F17" s="3">
        <f>'_计算'!E7</f>
        <v/>
      </c>
      <c r="G17" s="3" t="n"/>
      <c r="H17" s="3" t="n"/>
      <c r="I17" s="3" t="n"/>
      <c r="J17" s="3">
        <f>'_计算'!F7</f>
        <v/>
      </c>
      <c r="K17" s="3">
        <f>'_计算'!G7</f>
        <v/>
      </c>
      <c r="L17" s="3" t="inlineStr">
        <is>
          <t>未确认</t>
        </is>
      </c>
    </row>
    <row r="18" ht="30" customHeight="1">
      <c r="A18" s="3" t="n">
        <v>26</v>
      </c>
      <c r="B18" s="3">
        <f>'_计算'!B8</f>
        <v/>
      </c>
      <c r="C18" s="3" t="inlineStr">
        <is>
          <t>2026-02-09</t>
        </is>
      </c>
      <c r="D18" s="3" t="inlineStr">
        <is>
          <t>阶段</t>
        </is>
      </c>
      <c r="E18" s="3">
        <f>'_计算'!D8</f>
        <v/>
      </c>
      <c r="F18" s="3">
        <f>'_计算'!E8</f>
        <v/>
      </c>
      <c r="G18" s="3" t="n"/>
      <c r="H18" s="3" t="n"/>
      <c r="I18" s="3" t="n"/>
      <c r="J18" s="3">
        <f>'_计算'!F8</f>
        <v/>
      </c>
      <c r="K18" s="3">
        <f>'_计算'!G8</f>
        <v/>
      </c>
      <c r="L18" s="3" t="inlineStr">
        <is>
          <t>未确认</t>
        </is>
      </c>
    </row>
    <row r="19" ht="30" customHeight="1">
      <c r="A19" s="3" t="n">
        <v>26</v>
      </c>
      <c r="B19" s="3">
        <f>'_计算'!B9</f>
        <v/>
      </c>
      <c r="C19" s="3" t="inlineStr">
        <is>
          <t>2026-02-09</t>
        </is>
      </c>
      <c r="D19" s="3" t="inlineStr">
        <is>
          <t>阶段</t>
        </is>
      </c>
      <c r="E19" s="3">
        <f>'_计算'!D9</f>
        <v/>
      </c>
      <c r="F19" s="3">
        <f>'_计算'!E9</f>
        <v/>
      </c>
      <c r="G19" s="3" t="n"/>
      <c r="H19" s="3" t="n"/>
      <c r="I19" s="3" t="n"/>
      <c r="J19" s="3">
        <f>'_计算'!F9</f>
        <v/>
      </c>
      <c r="K19" s="3">
        <f>'_计算'!G9</f>
        <v/>
      </c>
      <c r="L19" s="3" t="inlineStr">
        <is>
          <t>未确认</t>
        </is>
      </c>
    </row>
    <row r="20" ht="30" customHeight="1">
      <c r="A20" s="3" t="n">
        <v>27</v>
      </c>
      <c r="B20" s="3">
        <f>'_计算'!B10</f>
        <v/>
      </c>
      <c r="C20" s="3" t="inlineStr">
        <is>
          <t>2026-02-09</t>
        </is>
      </c>
      <c r="D20" s="3" t="inlineStr">
        <is>
          <t>阶段</t>
        </is>
      </c>
      <c r="E20" s="3">
        <f>'_计算'!D10</f>
        <v/>
      </c>
      <c r="F20" s="3">
        <f>'_计算'!E10</f>
        <v/>
      </c>
      <c r="G20" s="3" t="n"/>
      <c r="H20" s="3" t="n"/>
      <c r="I20" s="3" t="n"/>
      <c r="J20" s="3">
        <f>'_计算'!F10</f>
        <v/>
      </c>
      <c r="K20" s="3">
        <f>'_计算'!G10</f>
        <v/>
      </c>
      <c r="L20" s="3" t="inlineStr">
        <is>
          <t>未确认</t>
        </is>
      </c>
    </row>
    <row r="21" ht="30" customHeight="1">
      <c r="A21" s="3" t="n">
        <v>27</v>
      </c>
      <c r="B21" s="3">
        <f>'_计算'!B11</f>
        <v/>
      </c>
      <c r="C21" s="3" t="inlineStr">
        <is>
          <t>2026-02-09</t>
        </is>
      </c>
      <c r="D21" s="3" t="inlineStr">
        <is>
          <t>阶段</t>
        </is>
      </c>
      <c r="E21" s="3">
        <f>'_计算'!D11</f>
        <v/>
      </c>
      <c r="F21" s="3">
        <f>'_计算'!E11</f>
        <v/>
      </c>
      <c r="G21" s="3" t="n"/>
      <c r="H21" s="3" t="n"/>
      <c r="I21" s="3" t="n"/>
      <c r="J21" s="3">
        <f>'_计算'!F11</f>
        <v/>
      </c>
      <c r="K21" s="3">
        <f>'_计算'!G11</f>
        <v/>
      </c>
      <c r="L21" s="3" t="inlineStr">
        <is>
          <t>未确认</t>
        </is>
      </c>
    </row>
    <row r="22">
      <c r="A22" s="7" t="inlineStr">
        <is>
          <t>节点统计</t>
        </is>
      </c>
      <c r="B22" s="7" t="n"/>
      <c r="C22" s="7" t="n"/>
      <c r="D22" s="7" t="n"/>
      <c r="E22" s="7" t="inlineStr">
        <is>
          <t>NC总数</t>
        </is>
      </c>
      <c r="F22" s="7">
        <f>COUNTIF(J9:J21,"?*")</f>
        <v/>
      </c>
      <c r="G22" s="7" t="inlineStr">
        <is>
          <t>未关闭</t>
        </is>
      </c>
      <c r="H22" s="7">
        <f>COUNTIF(K9:K21,"否")</f>
        <v/>
      </c>
      <c r="I22" s="7" t="inlineStr">
        <is>
          <t>严重</t>
        </is>
      </c>
      <c r="J22" s="7">
        <f>COUNTIF(J9:J21,"严重")</f>
        <v/>
      </c>
      <c r="K22" s="7" t="n"/>
      <c r="L22" s="7" t="n"/>
    </row>
    <row r="24">
      <c r="A24" s="8" t="inlineStr">
        <is>
          <t>阶段汇总统计</t>
        </is>
      </c>
      <c r="B24" s="2" t="n"/>
      <c r="C24" s="2" t="n"/>
      <c r="D24" s="2" t="n"/>
      <c r="E24" s="2" t="n"/>
      <c r="F24" s="2" t="n"/>
      <c r="G24" s="2" t="n"/>
      <c r="H24" s="2" t="n"/>
      <c r="I24" s="2" t="n"/>
      <c r="J24" s="2" t="n"/>
      <c r="K24" s="2" t="n"/>
      <c r="L24" s="2" t="n"/>
    </row>
    <row r="25">
      <c r="A25" s="7" t="inlineStr">
        <is>
          <t>产品NC总数</t>
        </is>
      </c>
      <c r="B25" s="7">
        <f>COUNTIF('_计算'!D2:D11,"工作产品")</f>
        <v/>
      </c>
      <c r="C25" s="7" t="inlineStr">
        <is>
          <t>过程NC总数</t>
        </is>
      </c>
      <c r="D25" s="7">
        <f>COUNTIFS('_计算'!D2:D11,"&lt;&gt;工作产品",'_计算'!D2:D11,"&lt;&gt;")</f>
        <v/>
      </c>
      <c r="E25" s="7" t="inlineStr">
        <is>
          <t>未关闭NC数</t>
        </is>
      </c>
      <c r="F25" s="7">
        <f>COUNTIF('_计算'!G2:G11,"否")</f>
        <v/>
      </c>
      <c r="G25" s="7" t="inlineStr">
        <is>
          <t>轻微</t>
        </is>
      </c>
      <c r="H25" s="7">
        <f>COUNTIF('_计算'!F2:F11,"轻微")</f>
        <v/>
      </c>
      <c r="I25" s="7" t="inlineStr">
        <is>
          <t>一般</t>
        </is>
      </c>
      <c r="J25" s="7">
        <f>COUNTIF('_计算'!F2:F11,"一般")</f>
        <v/>
      </c>
      <c r="K25" s="7" t="inlineStr">
        <is>
          <t>严重</t>
        </is>
      </c>
      <c r="L25" s="7">
        <f>COUNTIF('_计算'!F2:F11,"严重")</f>
        <v/>
      </c>
    </row>
    <row r="26">
      <c r="A26" s="4" t="inlineStr">
        <is>
          <t>RDM</t>
        </is>
      </c>
      <c r="B26" s="4" t="inlineStr">
        <is>
          <t>PP</t>
        </is>
      </c>
      <c r="C26" s="4" t="inlineStr">
        <is>
          <t>PMC</t>
        </is>
      </c>
      <c r="D26" s="4" t="inlineStr">
        <is>
          <t>CM</t>
        </is>
      </c>
      <c r="E26" s="4" t="inlineStr">
        <is>
          <t>MT</t>
        </is>
      </c>
      <c r="F26" s="4" t="inlineStr">
        <is>
          <t>MPM</t>
        </is>
      </c>
      <c r="G26" s="4" t="inlineStr">
        <is>
          <t>VV</t>
        </is>
      </c>
      <c r="H26" s="4" t="inlineStr">
        <is>
          <t>LD</t>
        </is>
      </c>
      <c r="I26" s="4" t="inlineStr">
        <is>
          <t>II</t>
        </is>
      </c>
      <c r="J26" s="4" t="inlineStr">
        <is>
          <t>工作产品</t>
        </is>
      </c>
      <c r="K26" s="4" t="inlineStr">
        <is>
          <t>总计</t>
        </is>
      </c>
    </row>
    <row r="27">
      <c r="A27" s="4">
        <f>COUNTIF('_计算'!D2:D11,"RDM")</f>
        <v/>
      </c>
      <c r="B27" s="4">
        <f>COUNTIF('_计算'!D2:D11,"PP")</f>
        <v/>
      </c>
      <c r="C27" s="4">
        <f>COUNTIF('_计算'!D2:D11,"PMC")</f>
        <v/>
      </c>
      <c r="D27" s="4">
        <f>COUNTIF('_计算'!D2:D11,"CM")</f>
        <v/>
      </c>
      <c r="E27" s="4">
        <f>COUNTIF('_计算'!D2:D11,"MT")</f>
        <v/>
      </c>
      <c r="F27" s="4">
        <f>COUNTIF('_计算'!D2:D11,"MPM")</f>
        <v/>
      </c>
      <c r="G27" s="4">
        <f>COUNTIF('_计算'!D2:D11,"VV")</f>
        <v/>
      </c>
      <c r="H27" s="4">
        <f>COUNTIF('_计算'!D2:D11,"LD")</f>
        <v/>
      </c>
      <c r="I27" s="4">
        <f>COUNTIF('_计算'!D2:D11,"II")</f>
        <v/>
      </c>
      <c r="J27" s="4">
        <f>COUNTIF('_计算'!D2:D11,"工作产品")</f>
        <v/>
      </c>
      <c r="K27" s="4">
        <f>SUM(A27:J27)</f>
        <v/>
      </c>
    </row>
  </sheetData>
  <sheetProtection selectLockedCells="0" selectUnlockedCells="0" sheet="1" objects="0" insertRows="1" insertHyperlinks="1" autoFilter="1" scenarios="0" formatColumns="1" deleteColumns="1" insertColumns="1" pivotTables="1" deleteRows="1" formatCells="1" formatRows="1" sort="1"/>
  <mergeCells count="27">
    <mergeCell ref="F13:I13"/>
    <mergeCell ref="F9:I9"/>
    <mergeCell ref="A22:D22"/>
    <mergeCell ref="I4:L4"/>
    <mergeCell ref="F14:I14"/>
    <mergeCell ref="A2:L2"/>
    <mergeCell ref="C3:F3"/>
    <mergeCell ref="F11:I11"/>
    <mergeCell ref="A8:L8"/>
    <mergeCell ref="F16:I16"/>
    <mergeCell ref="F19:I19"/>
    <mergeCell ref="F10:I10"/>
    <mergeCell ref="A3:B3"/>
    <mergeCell ref="G3:H3"/>
    <mergeCell ref="C4:F4"/>
    <mergeCell ref="F12:I12"/>
    <mergeCell ref="F15:I15"/>
    <mergeCell ref="F21:I21"/>
    <mergeCell ref="F20:I20"/>
    <mergeCell ref="A4:B4"/>
    <mergeCell ref="G4:H4"/>
    <mergeCell ref="F18:I18"/>
    <mergeCell ref="A24:L24"/>
    <mergeCell ref="F17:I17"/>
    <mergeCell ref="I3:L3"/>
    <mergeCell ref="A1:L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编号：ZDPX-03046/0.0-QA-检查单-019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n"/>
      <c r="H9" s="3" t="inlineStr">
        <is>
          <t>✓</t>
        </is>
      </c>
      <c r="I9" s="3" t="n"/>
      <c r="J9" s="3" t="inlineStr">
        <is>
          <t>严重</t>
        </is>
      </c>
      <c r="K9" s="3" t="inlineStr">
        <is>
          <t>必要内容覆盖不完整</t>
        </is>
      </c>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n"/>
      <c r="H12" s="3" t="inlineStr">
        <is>
          <t>✓</t>
        </is>
      </c>
      <c r="I12" s="3" t="n"/>
      <c r="J12" s="3" t="inlineStr">
        <is>
          <t>一般</t>
        </is>
      </c>
      <c r="K12" s="3" t="inlineStr">
        <is>
          <t>必要内容覆盖不完整</t>
        </is>
      </c>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ht="30" customHeight="1">
      <c r="A37" s="3" t="n">
        <v>25</v>
      </c>
      <c r="B37" s="3" t="inlineStr">
        <is>
          <t>2</t>
        </is>
      </c>
      <c r="C37" s="3" t="inlineStr">
        <is>
          <t>相关工作产品未完整覆盖本检查项要求的必要内容和适用场景，当前结果不能支撑该项要求已经全部落实。</t>
        </is>
      </c>
      <c r="D37" s="3" t="n"/>
      <c r="E37" s="3" t="n"/>
      <c r="F37" s="3" t="inlineStr">
        <is>
          <t>严重</t>
        </is>
      </c>
      <c r="G37" s="3" t="inlineStr">
        <is>
          <t>赵要浦</t>
        </is>
      </c>
      <c r="H37" s="3" t="inlineStr">
        <is>
          <t>2026-01-27</t>
        </is>
      </c>
      <c r="I37" s="3" t="inlineStr">
        <is>
          <t>2026-01-27</t>
        </is>
      </c>
      <c r="J37" s="3" t="inlineStr">
        <is>
          <t>补齐遗漏内容和适用场景，核对相关输入后组织复核，并保留复核结论。</t>
        </is>
      </c>
      <c r="K37" s="3" t="n"/>
      <c r="L37" s="3" t="inlineStr">
        <is>
          <t>否</t>
        </is>
      </c>
    </row>
    <row r="38" ht="30" customHeight="1">
      <c r="A38" s="3" t="n">
        <v>26</v>
      </c>
      <c r="B38" s="3" t="inlineStr">
        <is>
          <t>5</t>
        </is>
      </c>
      <c r="C38" s="3" t="inlineStr">
        <is>
          <t>相关工作产品未完整覆盖本检查项要求的必要内容和适用场景，当前结果不能支撑该项要求已经全部落实。</t>
        </is>
      </c>
      <c r="D38" s="3" t="n"/>
      <c r="E38" s="3" t="n"/>
      <c r="F38" s="3" t="inlineStr">
        <is>
          <t>一般</t>
        </is>
      </c>
      <c r="G38" s="3" t="inlineStr">
        <is>
          <t>赵要浦</t>
        </is>
      </c>
      <c r="H38" s="3" t="inlineStr">
        <is>
          <t>2026-01-27</t>
        </is>
      </c>
      <c r="I38" s="3" t="inlineStr">
        <is>
          <t>2026-01-27</t>
        </is>
      </c>
      <c r="J38" s="3" t="inlineStr">
        <is>
          <t>补齐遗漏内容和适用场景，核对相关输入后组织复核，并保留复核结论。</t>
        </is>
      </c>
      <c r="K38" s="3" t="n"/>
      <c r="L38"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K30:L30"/>
    <mergeCell ref="K25:L25"/>
    <mergeCell ref="A7:L7"/>
    <mergeCell ref="B16:F16"/>
    <mergeCell ref="K24:L24"/>
    <mergeCell ref="J38:K38"/>
    <mergeCell ref="B25:F25"/>
    <mergeCell ref="K15:L15"/>
    <mergeCell ref="K33:L33"/>
    <mergeCell ref="K9:L9"/>
    <mergeCell ref="B31:F31"/>
    <mergeCell ref="J37:K37"/>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C38:E38"/>
    <mergeCell ref="J4:K4"/>
    <mergeCell ref="B29:F29"/>
    <mergeCell ref="K12:L12"/>
    <mergeCell ref="C37:E37"/>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2026-01-27</t>
        </is>
      </c>
      <c r="I5" s="3" t="n"/>
      <c r="J5" s="3" t="n"/>
      <c r="K5" s="3" t="n"/>
    </row>
    <row r="6">
      <c r="B6" s="4" t="inlineStr">
        <is>
          <t>审核依据</t>
        </is>
      </c>
      <c r="C6" s="4" t="n"/>
      <c r="D6" s="3" t="inlineStr">
        <is>
          <t>ZDPX-03046/0.0-QA-检查单-019</t>
        </is>
      </c>
      <c r="E6" s="3" t="n"/>
      <c r="F6" s="3" t="n"/>
      <c r="G6" s="3" t="n"/>
      <c r="H6" s="3" t="n"/>
      <c r="I6" s="3" t="n"/>
      <c r="J6" s="3" t="n"/>
      <c r="K6" s="3" t="n"/>
    </row>
    <row r="7">
      <c r="B7" s="3" t="inlineStr">
        <is>
          <t>本次审核依据《项目策划检查单》实施。经审核，发现2个不符合项。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'C019-审核项目策划过程'!C37</f>
        <v/>
      </c>
      <c r="D13" s="3" t="n"/>
      <c r="E13" s="3" t="n"/>
      <c r="F13" s="3">
        <f>'C019-审核项目策划过程'!F37</f>
        <v/>
      </c>
      <c r="G13" s="3">
        <f>'C019-审核项目策划过程'!G37</f>
        <v/>
      </c>
      <c r="H13" s="3">
        <f>'C019-审核项目策划过程'!H37</f>
        <v/>
      </c>
      <c r="I13" s="3">
        <f>'C019-审核项目策划过程'!I37</f>
        <v/>
      </c>
      <c r="J13" s="3">
        <f>'C019-审核项目策划过程'!J37</f>
        <v/>
      </c>
      <c r="K13" s="3" t="n"/>
    </row>
    <row r="14" ht="30" customHeight="1">
      <c r="B14" s="3" t="n">
        <v>2</v>
      </c>
      <c r="C14" s="3">
        <f>'C019-审核项目策划过程'!C38</f>
        <v/>
      </c>
      <c r="D14" s="3" t="n"/>
      <c r="E14" s="3" t="n"/>
      <c r="F14" s="3">
        <f>'C019-审核项目策划过程'!F38</f>
        <v/>
      </c>
      <c r="G14" s="3">
        <f>'C019-审核项目策划过程'!G38</f>
        <v/>
      </c>
      <c r="H14" s="3">
        <f>'C019-审核项目策划过程'!H38</f>
        <v/>
      </c>
      <c r="I14" s="3">
        <f>'C019-审核项目策划过程'!I38</f>
        <v/>
      </c>
      <c r="J14" s="3">
        <f>'C019-审核项目策划过程'!J38</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相控阵数字样机软件设计说明</t>
        </is>
      </c>
      <c r="D4" s="3" t="n"/>
      <c r="E4" s="3" t="n"/>
      <c r="F4" s="4" t="inlineStr">
        <is>
          <t>产品标识</t>
        </is>
      </c>
      <c r="G4" s="4" t="n"/>
      <c r="H4" s="3" t="inlineStr">
        <is>
          <t>ZDPX03046/0.0-RJSJ</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n"/>
      <c r="H10" s="3" t="inlineStr">
        <is>
          <t>✓</t>
        </is>
      </c>
      <c r="I10" s="3" t="n"/>
      <c r="J10" s="3" t="inlineStr">
        <is>
          <t>一般</t>
        </is>
      </c>
      <c r="K10" s="3" t="inlineStr">
        <is>
          <t>必要内容覆盖不完整</t>
        </is>
      </c>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ht="30" customHeight="1">
      <c r="A27" s="3" t="n">
        <v>27</v>
      </c>
      <c r="B27" s="3" t="inlineStr">
        <is>
          <t>3</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2026-02-02</t>
        </is>
      </c>
      <c r="I27" s="3" t="inlineStr">
        <is>
          <t>2026-02-03</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A25:L25"/>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B23:F23"/>
    <mergeCell ref="J27:K27"/>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ZDPX-03046/0.0-QA-检查单-020</t>
        </is>
      </c>
      <c r="E6" s="3" t="n"/>
      <c r="F6" s="3" t="n"/>
      <c r="G6" s="3" t="n"/>
      <c r="H6" s="3" t="n"/>
      <c r="I6" s="3" t="n"/>
      <c r="J6" s="3" t="n"/>
      <c r="K6" s="3" t="n"/>
    </row>
    <row r="7">
      <c r="B7" s="3" t="inlineStr">
        <is>
          <t>本次审核依据《软件设计说明检查单》实施。经审核，发现1个不符合项。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'C020-相控阵数字样机软件设计说明'!C27</f>
        <v/>
      </c>
      <c r="D13" s="3" t="n"/>
      <c r="E13" s="3" t="n"/>
      <c r="F13" s="3">
        <f>'C020-相控阵数字样机软件设计说明'!F27</f>
        <v/>
      </c>
      <c r="G13" s="3">
        <f>'C020-相控阵数字样机软件设计说明'!G27</f>
        <v/>
      </c>
      <c r="H13" s="3">
        <f>'C020-相控阵数字样机软件设计说明'!H27</f>
        <v/>
      </c>
      <c r="I13" s="3">
        <f>'C020-相控阵数字样机软件设计说明'!I27</f>
        <v/>
      </c>
      <c r="J13" s="3">
        <f>'C020-相控阵数字样机软件设计说明'!J27</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相控阵数字样机软件接口设计说明</t>
        </is>
      </c>
      <c r="D4" s="3" t="n"/>
      <c r="E4" s="3" t="n"/>
      <c r="F4" s="4" t="inlineStr">
        <is>
          <t>产品标识</t>
        </is>
      </c>
      <c r="G4" s="4" t="n"/>
      <c r="H4" s="3" t="inlineStr">
        <is>
          <t>ZDPX03046/0.0-RJJK</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inlineStr">
        <is>
          <t>✓</t>
        </is>
      </c>
      <c r="H10" s="3" t="n"/>
      <c r="I10" s="3" t="n"/>
      <c r="J10" s="3" t="inlineStr"/>
      <c r="K10" s="3" t="inlineStr"/>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c r="A27" s="3" t="inlineStr">
        <is>
          <t>本次审核未发现不符合项。</t>
        </is>
      </c>
      <c r="B27" s="3" t="n"/>
      <c r="C27" s="3" t="n"/>
      <c r="D27" s="3" t="n"/>
      <c r="E27" s="3" t="n"/>
      <c r="F27" s="3" t="n"/>
      <c r="G27" s="3" t="n"/>
      <c r="H27" s="3" t="n"/>
      <c r="I27" s="3" t="n"/>
      <c r="J27" s="3" t="n"/>
      <c r="K27" s="3" t="n"/>
      <c r="L27" s="3" t="n"/>
    </row>
  </sheetData>
  <sheetProtection selectLockedCells="0" selectUnlockedCells="0" sheet="1" objects="0" insertRows="1" insertHyperlinks="1" autoFilter="1" scenarios="0" formatColumns="1" deleteColumns="1" insertColumns="1" pivotTables="1" deleteRows="1" formatCells="1" formatRows="1" sort="1"/>
  <mergeCells count="47">
    <mergeCell ref="K16:L16"/>
    <mergeCell ref="F4:G4"/>
    <mergeCell ref="A7:L7"/>
    <mergeCell ref="A25:L25"/>
    <mergeCell ref="B16:F16"/>
    <mergeCell ref="K15:L15"/>
    <mergeCell ref="K9:L9"/>
    <mergeCell ref="H4:I4"/>
    <mergeCell ref="B22:F22"/>
    <mergeCell ref="A27:L27"/>
    <mergeCell ref="B18:F18"/>
    <mergeCell ref="K21:L21"/>
    <mergeCell ref="F3:G3"/>
    <mergeCell ref="B21:F21"/>
    <mergeCell ref="A2:L2"/>
    <mergeCell ref="B12:F12"/>
    <mergeCell ref="K11:L11"/>
    <mergeCell ref="K20:L20"/>
    <mergeCell ref="B11:F11"/>
    <mergeCell ref="B23:F23"/>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相控阵数字样机软件接口设计说明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ZDPX-03046/0.0-QA-检查单-021</t>
        </is>
      </c>
      <c r="E6" s="3" t="n"/>
      <c r="F6" s="3" t="n"/>
      <c r="G6" s="3" t="n"/>
      <c r="H6" s="3" t="n"/>
      <c r="I6" s="3" t="n"/>
      <c r="J6" s="3" t="n"/>
      <c r="K6" s="3" t="n"/>
    </row>
    <row r="7">
      <c r="B7" s="3" t="inlineStr">
        <is>
          <t>本次审核依据《软件设计说明检查单》实施。经审核，未发现不符合项。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编号：ZDPX-03046/0.0-QA-检查单-022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相控阵数字样机软件单元测试计划</t>
        </is>
      </c>
      <c r="D4" s="3" t="n"/>
      <c r="E4" s="3" t="n"/>
      <c r="F4" s="4" t="inlineStr">
        <is>
          <t>产品标识</t>
        </is>
      </c>
      <c r="G4" s="4" t="n"/>
      <c r="H4" s="3" t="inlineStr">
        <is>
          <t>ZDPX03046/0.0-DCJH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c r="A21" s="3" t="inlineStr">
        <is>
          <t>本次审核未发现不符合项。</t>
        </is>
      </c>
      <c r="B21" s="3" t="n"/>
      <c r="C21" s="3" t="n"/>
      <c r="D21" s="3" t="n"/>
      <c r="E21" s="3" t="n"/>
      <c r="F21" s="3" t="n"/>
      <c r="G21" s="3" t="n"/>
      <c r="H21" s="3" t="n"/>
      <c r="I21" s="3" t="n"/>
      <c r="J21" s="3" t="n"/>
      <c r="K21" s="3" t="n"/>
      <c r="L21" s="3" t="n"/>
    </row>
  </sheetData>
  <sheetProtection selectLockedCells="0" selectUnlockedCells="0" sheet="1" objects="0" insertRows="1" insertHyperlinks="1" autoFilter="1" scenarios="0" formatColumns="1" deleteColumns="1" insertColumns="1" pivotTables="1" deleteRows="1" formatCells="1" formatRows="1" sort="1"/>
  <mergeCells count="35">
    <mergeCell ref="K16:L16"/>
    <mergeCell ref="F4:G4"/>
    <mergeCell ref="A7:L7"/>
    <mergeCell ref="B16:F16"/>
    <mergeCell ref="K15:L15"/>
    <mergeCell ref="K9:L9"/>
    <mergeCell ref="H4:I4"/>
    <mergeCell ref="A21:L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相控阵数字样机软件单元测试计划</t>
        </is>
      </c>
      <c r="G4" s="3" t="n"/>
      <c r="H4" s="3" t="n"/>
      <c r="I4" s="3" t="n"/>
      <c r="J4" s="3" t="n"/>
      <c r="K4" s="3" t="n"/>
    </row>
    <row r="5">
      <c r="B5" s="4" t="inlineStr">
        <is>
          <t>审核人</t>
        </is>
      </c>
      <c r="C5" s="4" t="n"/>
      <c r="D5" s="3" t="inlineStr">
        <is>
          <t>高蕾</t>
        </is>
      </c>
      <c r="E5" s="3" t="n"/>
      <c r="F5" s="4" t="inlineStr">
        <is>
          <t>审核日期</t>
        </is>
      </c>
      <c r="G5" s="4" t="n"/>
      <c r="H5" s="3" t="inlineStr">
        <is>
          <t>2026-02-05</t>
        </is>
      </c>
      <c r="I5" s="3" t="n"/>
      <c r="J5" s="3" t="n"/>
      <c r="K5" s="3" t="n"/>
    </row>
    <row r="6">
      <c r="B6" s="4" t="inlineStr">
        <is>
          <t>审核依据</t>
        </is>
      </c>
      <c r="C6" s="4" t="n"/>
      <c r="D6" s="3" t="inlineStr">
        <is>
          <t>ZDPX-03046/0.0-QA-检查单-022</t>
        </is>
      </c>
      <c r="E6" s="3" t="n"/>
      <c r="F6" s="3" t="n"/>
      <c r="G6" s="3" t="n"/>
      <c r="H6" s="3" t="n"/>
      <c r="I6" s="3" t="n"/>
      <c r="J6" s="3" t="n"/>
      <c r="K6" s="3" t="n"/>
    </row>
    <row r="7">
      <c r="B7" s="3" t="inlineStr">
        <is>
          <t>本次审核依据《软件测试计划检查单》实施。经审核，未发现不符合项。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编号：ZDPX-03046/0.0-QA-检查单-023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编号：ZDPX-03046/0.0-QA-检查单-024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n"/>
      <c r="H37" s="3" t="inlineStr">
        <is>
          <t>✓</t>
        </is>
      </c>
      <c r="I37" s="3" t="n"/>
      <c r="J37" s="3" t="inlineStr">
        <is>
          <t>严重</t>
        </is>
      </c>
      <c r="K37" s="3" t="inlineStr">
        <is>
          <t>必要内容覆盖不完整</t>
        </is>
      </c>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28</v>
      </c>
      <c r="B41" s="3" t="inlineStr">
        <is>
          <t>21</t>
        </is>
      </c>
      <c r="C41" s="3" t="inlineStr">
        <is>
          <t>相关工作产品未完整覆盖本检查项要求的必要内容和适用场景，当前结果不能支撑该项要求已经全部落实。</t>
        </is>
      </c>
      <c r="D41" s="3" t="n"/>
      <c r="E41" s="3" t="n"/>
      <c r="F41" s="3" t="inlineStr">
        <is>
          <t>一般</t>
        </is>
      </c>
      <c r="G41" s="3" t="inlineStr">
        <is>
          <t>赵要浦</t>
        </is>
      </c>
      <c r="H41" s="3" t="inlineStr">
        <is>
          <t>2026-02-09</t>
        </is>
      </c>
      <c r="I41" s="3" t="inlineStr">
        <is>
          <t>2026-02-09</t>
        </is>
      </c>
      <c r="J41" s="3" t="inlineStr">
        <is>
          <t>补齐遗漏内容和适用场景，核对相关输入后组织复核，并保留复核结论。</t>
        </is>
      </c>
      <c r="K41" s="3" t="n"/>
      <c r="L41" s="3" t="inlineStr">
        <is>
          <t>否</t>
        </is>
      </c>
    </row>
    <row r="42" ht="30" customHeight="1">
      <c r="A42" s="3" t="n">
        <v>29</v>
      </c>
      <c r="B42" s="3" t="inlineStr">
        <is>
          <t>29</t>
        </is>
      </c>
      <c r="C42" s="3" t="inlineStr">
        <is>
          <t>相关工作产品未完整覆盖本检查项要求的必要内容和适用场景，当前结果不能支撑该项要求已经全部落实。</t>
        </is>
      </c>
      <c r="D42" s="3" t="n"/>
      <c r="E42" s="3" t="n"/>
      <c r="F42" s="3" t="inlineStr">
        <is>
          <t>严重</t>
        </is>
      </c>
      <c r="G42" s="3" t="inlineStr">
        <is>
          <t>赵要浦</t>
        </is>
      </c>
      <c r="H42" s="3" t="inlineStr">
        <is>
          <t>2026-02-09</t>
        </is>
      </c>
      <c r="I42" s="3" t="inlineStr">
        <is>
          <t>2026-02-09</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ZDPX-03046/0.0-QA-检查单-024</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'C024-审核需求开发与管理过程'!C41</f>
        <v/>
      </c>
      <c r="D13" s="3" t="n"/>
      <c r="E13" s="3" t="n"/>
      <c r="F13" s="3">
        <f>'C024-审核需求开发与管理过程'!F41</f>
        <v/>
      </c>
      <c r="G13" s="3">
        <f>'C024-审核需求开发与管理过程'!G41</f>
        <v/>
      </c>
      <c r="H13" s="3">
        <f>'C024-审核需求开发与管理过程'!H41</f>
        <v/>
      </c>
      <c r="I13" s="3">
        <f>'C024-审核需求开发与管理过程'!I41</f>
        <v/>
      </c>
      <c r="J13" s="3">
        <f>'C024-审核需求开发与管理过程'!J41</f>
        <v/>
      </c>
      <c r="K13" s="3" t="n"/>
    </row>
    <row r="14" ht="30" customHeight="1">
      <c r="B14" s="3" t="n">
        <v>2</v>
      </c>
      <c r="C14" s="3">
        <f>'C024-审核需求开发与管理过程'!C42</f>
        <v/>
      </c>
      <c r="D14" s="3" t="n"/>
      <c r="E14" s="3" t="n"/>
      <c r="F14" s="3">
        <f>'C024-审核需求开发与管理过程'!F42</f>
        <v/>
      </c>
      <c r="G14" s="3">
        <f>'C024-审核需求开发与管理过程'!G42</f>
        <v/>
      </c>
      <c r="H14" s="3">
        <f>'C024-审核需求开发与管理过程'!H42</f>
        <v/>
      </c>
      <c r="I14" s="3">
        <f>'C024-审核需求开发与管理过程'!I42</f>
        <v/>
      </c>
      <c r="J14" s="3">
        <f>'C024-审核需求开发与管理过程'!J42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3"/>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编号：ZDPX-03046/0.0-QA-检查单-025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审核配置管理-阶段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n"/>
      <c r="H17" s="3" t="inlineStr">
        <is>
          <t>✓</t>
        </is>
      </c>
      <c r="I17" s="3" t="n"/>
      <c r="J17" s="3" t="inlineStr">
        <is>
          <t>一般</t>
        </is>
      </c>
      <c r="K17" s="3" t="inlineStr">
        <is>
          <t>必要内容覆盖不完整</t>
        </is>
      </c>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30</v>
      </c>
      <c r="B33" s="3" t="inlineStr">
        <is>
          <t>10</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2026-02-09</t>
        </is>
      </c>
      <c r="I33" s="3" t="inlineStr">
        <is>
          <t>2026-02-09</t>
        </is>
      </c>
      <c r="J33" s="3" t="inlineStr">
        <is>
          <t>补齐遗漏内容和适用场景，核对相关输入后组织复核，并保留复核结论。</t>
        </is>
      </c>
      <c r="K33" s="3" t="n"/>
      <c r="L33"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0">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审核配置管理-阶段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ZDPX-03046/0.0-QA-检查单-025</t>
        </is>
      </c>
      <c r="E6" s="3" t="n"/>
      <c r="F6" s="3" t="n"/>
      <c r="G6" s="3" t="n"/>
      <c r="H6" s="3" t="n"/>
      <c r="I6" s="3" t="n"/>
      <c r="J6" s="3" t="n"/>
      <c r="K6" s="3" t="n"/>
    </row>
    <row r="7">
      <c r="B7" s="3" t="inlineStr">
        <is>
          <t>本次审核依据《配 置 管 理 检 查 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'C025-审核配置管理-阶段'!C33</f>
        <v/>
      </c>
      <c r="D13" s="3" t="n"/>
      <c r="E13" s="3" t="n"/>
      <c r="F13" s="3">
        <f>'C025-审核配置管理-阶段'!F33</f>
        <v/>
      </c>
      <c r="G13" s="3">
        <f>'C025-审核配置管理-阶段'!G33</f>
        <v/>
      </c>
      <c r="H13" s="3">
        <f>'C025-审核配置管理-阶段'!H33</f>
        <v/>
      </c>
      <c r="I13" s="3">
        <f>'C025-审核配置管理-阶段'!I33</f>
        <v/>
      </c>
      <c r="J13" s="3">
        <f>'C025-审核配置管理-阶段'!J33</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编号：ZDPX-03046/0.0-QA-检查单-026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审核项目监控-阶段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n"/>
      <c r="H9" s="3" t="inlineStr">
        <is>
          <t>✓</t>
        </is>
      </c>
      <c r="I9" s="3" t="n"/>
      <c r="J9" s="3" t="inlineStr">
        <is>
          <t>一般</t>
        </is>
      </c>
      <c r="K9" s="3" t="inlineStr">
        <is>
          <t>必要内容覆盖不完整</t>
        </is>
      </c>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n"/>
      <c r="H37" s="3" t="inlineStr">
        <is>
          <t>✓</t>
        </is>
      </c>
      <c r="I37" s="3" t="n"/>
      <c r="J37" s="3" t="inlineStr">
        <is>
          <t>一般</t>
        </is>
      </c>
      <c r="K37" s="3" t="inlineStr">
        <is>
          <t>必要内容覆盖不完整</t>
        </is>
      </c>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31</v>
      </c>
      <c r="B45" s="3" t="inlineStr">
        <is>
          <t>2</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2026-02-09</t>
        </is>
      </c>
      <c r="I45" s="3" t="inlineStr">
        <is>
          <t>2026-02-09</t>
        </is>
      </c>
      <c r="J45" s="3" t="inlineStr">
        <is>
          <t>补齐遗漏内容和适用场景，核对相关输入后组织复核，并保留复核结论。</t>
        </is>
      </c>
      <c r="K45" s="3" t="n"/>
      <c r="L45" s="3" t="inlineStr">
        <is>
          <t>否</t>
        </is>
      </c>
    </row>
    <row r="46" ht="30" customHeight="1">
      <c r="A46" s="3" t="n">
        <v>32</v>
      </c>
      <c r="B46" s="3" t="inlineStr">
        <is>
          <t>30</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2026-02-09</t>
        </is>
      </c>
      <c r="I46" s="3" t="inlineStr">
        <is>
          <t>2026-02-09</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审核项目监控-阶段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ZDPX-03046/0.0-QA-检查单-026</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'C026-审核项目监控-阶段'!C45</f>
        <v/>
      </c>
      <c r="D13" s="3" t="n"/>
      <c r="E13" s="3" t="n"/>
      <c r="F13" s="3">
        <f>'C026-审核项目监控-阶段'!F45</f>
        <v/>
      </c>
      <c r="G13" s="3">
        <f>'C026-审核项目监控-阶段'!G45</f>
        <v/>
      </c>
      <c r="H13" s="3">
        <f>'C026-审核项目监控-阶段'!H45</f>
        <v/>
      </c>
      <c r="I13" s="3">
        <f>'C026-审核项目监控-阶段'!I45</f>
        <v/>
      </c>
      <c r="J13" s="3">
        <f>'C026-审核项目监控-阶段'!J45</f>
        <v/>
      </c>
      <c r="K13" s="3" t="n"/>
    </row>
    <row r="14" ht="30" customHeight="1">
      <c r="B14" s="3" t="n">
        <v>2</v>
      </c>
      <c r="C14" s="3">
        <f>'C026-审核项目监控-阶段'!C46</f>
        <v/>
      </c>
      <c r="D14" s="3" t="n"/>
      <c r="E14" s="3" t="n"/>
      <c r="F14" s="3">
        <f>'C026-审核项目监控-阶段'!F46</f>
        <v/>
      </c>
      <c r="G14" s="3">
        <f>'C026-审核项目监控-阶段'!G46</f>
        <v/>
      </c>
      <c r="H14" s="3">
        <f>'C026-审核项目监控-阶段'!H46</f>
        <v/>
      </c>
      <c r="I14" s="3">
        <f>'C026-审核项目监控-阶段'!I46</f>
        <v/>
      </c>
      <c r="J14" s="3">
        <f>'C026-审核项目监控-阶段'!J46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编号：ZDPX-03046/0.0-QA-检查单-027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n"/>
      <c r="H21" s="3" t="inlineStr">
        <is>
          <t>✓</t>
        </is>
      </c>
      <c r="I21" s="3" t="n"/>
      <c r="J21" s="3" t="inlineStr">
        <is>
          <t>一般</t>
        </is>
      </c>
      <c r="K21" s="3" t="inlineStr">
        <is>
          <t>必要内容覆盖不完整</t>
        </is>
      </c>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33</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2026-02-09</t>
        </is>
      </c>
      <c r="I26" s="3" t="inlineStr">
        <is>
          <t>2026-02-09</t>
        </is>
      </c>
      <c r="J26" s="3" t="inlineStr">
        <is>
          <t>补齐遗漏内容和适用场景，核对相关输入后组织复核，并保留复核结论。</t>
        </is>
      </c>
      <c r="K26" s="3" t="n"/>
      <c r="L26" s="3" t="inlineStr">
        <is>
          <t>否</t>
        </is>
      </c>
    </row>
    <row r="27" ht="30" customHeight="1">
      <c r="A27" s="3" t="n">
        <v>34</v>
      </c>
      <c r="B27" s="3" t="inlineStr">
        <is>
          <t>14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2026-02-09</t>
        </is>
      </c>
      <c r="I27" s="3" t="inlineStr">
        <is>
          <t>2026-02-09</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ZDPX-03046/0.0-QA-检查单-027</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'C027-审核测量与绩效管理-阶段'!C26</f>
        <v/>
      </c>
      <c r="D13" s="3" t="n"/>
      <c r="E13" s="3" t="n"/>
      <c r="F13" s="3">
        <f>'C027-审核测量与绩效管理-阶段'!F26</f>
        <v/>
      </c>
      <c r="G13" s="3">
        <f>'C027-审核测量与绩效管理-阶段'!G26</f>
        <v/>
      </c>
      <c r="H13" s="3">
        <f>'C027-审核测量与绩效管理-阶段'!H26</f>
        <v/>
      </c>
      <c r="I13" s="3">
        <f>'C027-审核测量与绩效管理-阶段'!I26</f>
        <v/>
      </c>
      <c r="J13" s="3">
        <f>'C027-审核测量与绩效管理-阶段'!J26</f>
        <v/>
      </c>
      <c r="K13" s="3" t="n"/>
    </row>
    <row r="14" ht="30" customHeight="1">
      <c r="B14" s="3" t="n">
        <v>2</v>
      </c>
      <c r="C14" s="3">
        <f>'C027-审核测量与绩效管理-阶段'!C27</f>
        <v/>
      </c>
      <c r="D14" s="3" t="n"/>
      <c r="E14" s="3" t="n"/>
      <c r="F14" s="3">
        <f>'C027-审核测量与绩效管理-阶段'!F27</f>
        <v/>
      </c>
      <c r="G14" s="3">
        <f>'C027-审核测量与绩效管理-阶段'!G27</f>
        <v/>
      </c>
      <c r="H14" s="3">
        <f>'C027-审核测量与绩效管理-阶段'!H27</f>
        <v/>
      </c>
      <c r="I14" s="3">
        <f>'C027-审核测量与绩效管理-阶段'!I27</f>
        <v/>
      </c>
      <c r="J14" s="3">
        <f>'C027-审核测量与绩效管理-阶段'!J27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19</v>
      </c>
      <c r="B2">
        <f>'R019-审核项目策划过程'!F4</f>
        <v/>
      </c>
      <c r="C2">
        <f>'R019-审核项目策划过程'!B13</f>
        <v/>
      </c>
      <c r="D2" t="inlineStr">
        <is>
          <t>PP</t>
        </is>
      </c>
      <c r="E2">
        <f>'R019-审核项目策划过程'!C13</f>
        <v/>
      </c>
      <c r="F2">
        <f>'R019-审核项目策划过程'!F13</f>
        <v/>
      </c>
      <c r="G2" t="inlineStr">
        <is>
          <t>否</t>
        </is>
      </c>
      <c r="H2" t="inlineStr">
        <is>
          <t>2026-02-09</t>
        </is>
      </c>
      <c r="I2" t="inlineStr">
        <is>
          <t>阶段</t>
        </is>
      </c>
      <c r="J2" t="inlineStr">
        <is>
          <t>2026-01-27</t>
        </is>
      </c>
    </row>
    <row r="3">
      <c r="A3" t="n">
        <v>19</v>
      </c>
      <c r="B3">
        <f>'R019-审核项目策划过程'!F4</f>
        <v/>
      </c>
      <c r="C3">
        <f>'R019-审核项目策划过程'!B14</f>
        <v/>
      </c>
      <c r="D3" t="inlineStr">
        <is>
          <t>PP</t>
        </is>
      </c>
      <c r="E3">
        <f>'R019-审核项目策划过程'!C14</f>
        <v/>
      </c>
      <c r="F3">
        <f>'R019-审核项目策划过程'!F14</f>
        <v/>
      </c>
      <c r="G3" t="inlineStr">
        <is>
          <t>否</t>
        </is>
      </c>
      <c r="H3" t="inlineStr">
        <is>
          <t>2026-02-09</t>
        </is>
      </c>
      <c r="I3" t="inlineStr">
        <is>
          <t>阶段</t>
        </is>
      </c>
      <c r="J3" t="inlineStr">
        <is>
          <t>2026-01-27</t>
        </is>
      </c>
    </row>
    <row r="4">
      <c r="A4" t="n">
        <v>20</v>
      </c>
      <c r="B4">
        <f>'R020-相控阵数字样机软件设计说明'!F4</f>
        <v/>
      </c>
      <c r="C4">
        <f>'R020-相控阵数字样机软件设计说明'!B13</f>
        <v/>
      </c>
      <c r="D4" t="inlineStr">
        <is>
          <t>工作产品</t>
        </is>
      </c>
      <c r="E4">
        <f>'R020-相控阵数字样机软件设计说明'!C13</f>
        <v/>
      </c>
      <c r="F4">
        <f>'R020-相控阵数字样机软件设计说明'!F13</f>
        <v/>
      </c>
      <c r="G4" t="inlineStr">
        <is>
          <t>否</t>
        </is>
      </c>
      <c r="H4" t="inlineStr">
        <is>
          <t>2026-02-09</t>
        </is>
      </c>
      <c r="I4" t="inlineStr">
        <is>
          <t>阶段</t>
        </is>
      </c>
      <c r="J4" t="inlineStr">
        <is>
          <t>2026-02-02</t>
        </is>
      </c>
    </row>
    <row r="5">
      <c r="A5" t="n">
        <v>24</v>
      </c>
      <c r="B5">
        <f>'R024-审核需求开发与管理过程'!F4</f>
        <v/>
      </c>
      <c r="C5">
        <f>'R024-审核需求开发与管理过程'!B13</f>
        <v/>
      </c>
      <c r="D5" t="inlineStr">
        <is>
          <t>RDM</t>
        </is>
      </c>
      <c r="E5">
        <f>'R024-审核需求开发与管理过程'!C13</f>
        <v/>
      </c>
      <c r="F5">
        <f>'R024-审核需求开发与管理过程'!F13</f>
        <v/>
      </c>
      <c r="G5" t="inlineStr">
        <is>
          <t>否</t>
        </is>
      </c>
      <c r="H5" t="inlineStr">
        <is>
          <t>2026-02-09</t>
        </is>
      </c>
      <c r="I5" t="inlineStr">
        <is>
          <t>阶段</t>
        </is>
      </c>
      <c r="J5" t="inlineStr">
        <is>
          <t>2026-02-09</t>
        </is>
      </c>
    </row>
    <row r="6">
      <c r="A6" t="n">
        <v>24</v>
      </c>
      <c r="B6">
        <f>'R024-审核需求开发与管理过程'!F4</f>
        <v/>
      </c>
      <c r="C6">
        <f>'R024-审核需求开发与管理过程'!B14</f>
        <v/>
      </c>
      <c r="D6" t="inlineStr">
        <is>
          <t>RDM</t>
        </is>
      </c>
      <c r="E6">
        <f>'R024-审核需求开发与管理过程'!C14</f>
        <v/>
      </c>
      <c r="F6">
        <f>'R024-审核需求开发与管理过程'!F14</f>
        <v/>
      </c>
      <c r="G6" t="inlineStr">
        <is>
          <t>否</t>
        </is>
      </c>
      <c r="H6" t="inlineStr">
        <is>
          <t>2026-02-09</t>
        </is>
      </c>
      <c r="I6" t="inlineStr">
        <is>
          <t>阶段</t>
        </is>
      </c>
      <c r="J6" t="inlineStr">
        <is>
          <t>2026-02-09</t>
        </is>
      </c>
    </row>
    <row r="7">
      <c r="A7" t="n">
        <v>25</v>
      </c>
      <c r="B7">
        <f>'R025-审核配置管理-阶段'!F4</f>
        <v/>
      </c>
      <c r="C7">
        <f>'R025-审核配置管理-阶段'!B13</f>
        <v/>
      </c>
      <c r="D7" t="inlineStr">
        <is>
          <t>CM</t>
        </is>
      </c>
      <c r="E7">
        <f>'R025-审核配置管理-阶段'!C13</f>
        <v/>
      </c>
      <c r="F7">
        <f>'R025-审核配置管理-阶段'!F13</f>
        <v/>
      </c>
      <c r="G7" t="inlineStr">
        <is>
          <t>否</t>
        </is>
      </c>
      <c r="H7" t="inlineStr">
        <is>
          <t>2026-02-09</t>
        </is>
      </c>
      <c r="I7" t="inlineStr">
        <is>
          <t>阶段</t>
        </is>
      </c>
      <c r="J7" t="inlineStr">
        <is>
          <t>2026-02-09</t>
        </is>
      </c>
    </row>
    <row r="8">
      <c r="A8" t="n">
        <v>26</v>
      </c>
      <c r="B8">
        <f>'R026-审核项目监控-阶段'!F4</f>
        <v/>
      </c>
      <c r="C8">
        <f>'R026-审核项目监控-阶段'!B13</f>
        <v/>
      </c>
      <c r="D8" t="inlineStr">
        <is>
          <t>PMC</t>
        </is>
      </c>
      <c r="E8">
        <f>'R026-审核项目监控-阶段'!C13</f>
        <v/>
      </c>
      <c r="F8">
        <f>'R026-审核项目监控-阶段'!F13</f>
        <v/>
      </c>
      <c r="G8" t="inlineStr">
        <is>
          <t>否</t>
        </is>
      </c>
      <c r="H8" t="inlineStr">
        <is>
          <t>2026-02-09</t>
        </is>
      </c>
      <c r="I8" t="inlineStr">
        <is>
          <t>阶段</t>
        </is>
      </c>
      <c r="J8" t="inlineStr">
        <is>
          <t>2026-02-09</t>
        </is>
      </c>
    </row>
    <row r="9">
      <c r="A9" t="n">
        <v>26</v>
      </c>
      <c r="B9">
        <f>'R026-审核项目监控-阶段'!F4</f>
        <v/>
      </c>
      <c r="C9">
        <f>'R026-审核项目监控-阶段'!B14</f>
        <v/>
      </c>
      <c r="D9" t="inlineStr">
        <is>
          <t>PMC</t>
        </is>
      </c>
      <c r="E9">
        <f>'R026-审核项目监控-阶段'!C14</f>
        <v/>
      </c>
      <c r="F9">
        <f>'R026-审核项目监控-阶段'!F14</f>
        <v/>
      </c>
      <c r="G9" t="inlineStr">
        <is>
          <t>否</t>
        </is>
      </c>
      <c r="H9" t="inlineStr">
        <is>
          <t>2026-02-09</t>
        </is>
      </c>
      <c r="I9" t="inlineStr">
        <is>
          <t>阶段</t>
        </is>
      </c>
      <c r="J9" t="inlineStr">
        <is>
          <t>2026-02-09</t>
        </is>
      </c>
    </row>
    <row r="10">
      <c r="A10" t="n">
        <v>27</v>
      </c>
      <c r="B10">
        <f>'R027-审核测量与绩效管理-阶段'!F4</f>
        <v/>
      </c>
      <c r="C10">
        <f>'R027-审核测量与绩效管理-阶段'!B13</f>
        <v/>
      </c>
      <c r="D10" t="inlineStr">
        <is>
          <t>MPM</t>
        </is>
      </c>
      <c r="E10">
        <f>'R027-审核测量与绩效管理-阶段'!C13</f>
        <v/>
      </c>
      <c r="F10">
        <f>'R027-审核测量与绩效管理-阶段'!F13</f>
        <v/>
      </c>
      <c r="G10" t="inlineStr">
        <is>
          <t>否</t>
        </is>
      </c>
      <c r="H10" t="inlineStr">
        <is>
          <t>2026-02-09</t>
        </is>
      </c>
      <c r="I10" t="inlineStr">
        <is>
          <t>阶段</t>
        </is>
      </c>
      <c r="J10" t="inlineStr">
        <is>
          <t>2026-02-09</t>
        </is>
      </c>
    </row>
    <row r="11">
      <c r="A11" t="n">
        <v>27</v>
      </c>
      <c r="B11">
        <f>'R027-审核测量与绩效管理-阶段'!F4</f>
        <v/>
      </c>
      <c r="C11">
        <f>'R027-审核测量与绩效管理-阶段'!B14</f>
        <v/>
      </c>
      <c r="D11" t="inlineStr">
        <is>
          <t>MPM</t>
        </is>
      </c>
      <c r="E11">
        <f>'R027-审核测量与绩效管理-阶段'!C14</f>
        <v/>
      </c>
      <c r="F11">
        <f>'R027-审核测量与绩效管理-阶段'!F14</f>
        <v/>
      </c>
      <c r="G11" t="inlineStr">
        <is>
          <t>否</t>
        </is>
      </c>
      <c r="H11" t="inlineStr">
        <is>
          <t>2026-02-09</t>
        </is>
      </c>
      <c r="I11" t="inlineStr">
        <is>
          <t>阶段</t>
        </is>
      </c>
      <c r="J11" t="inlineStr">
        <is>
          <t>2026-02-09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2026-08-21T13:56:34Z</dcterms:created>
  <dcterms:modified xmlns:dcterms="http://purl.org/dc/terms/" xmlns:xsi="http://www.w3.org/2001/XMLSchema-instance" xsi:type="dcterms:W3CDTF">2026-08-21T13:56:34Z</dcterms:modified>
</cp:coreProperties>
</file>