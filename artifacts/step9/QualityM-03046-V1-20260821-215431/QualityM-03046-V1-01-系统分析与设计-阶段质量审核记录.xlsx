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目录" sheetId="1" state="visible" r:id="rId1"/>
    <sheet xmlns:r="http://schemas.openxmlformats.org/officeDocument/2006/relationships" name="阶段质量审核工作报告" sheetId="2" state="visible" r:id="rId2"/>
    <sheet xmlns:r="http://schemas.openxmlformats.org/officeDocument/2006/relationships" name="C001-相控阵数字样机软件研制任务书" sheetId="3" state="visible" r:id="rId3"/>
    <sheet xmlns:r="http://schemas.openxmlformats.org/officeDocument/2006/relationships" name="R001-相控阵数字样机软件研制任务书" sheetId="4" state="visible" r:id="rId4"/>
    <sheet xmlns:r="http://schemas.openxmlformats.org/officeDocument/2006/relationships" name="C002-审核需求开发与管理过程" sheetId="5" state="visible" r:id="rId5"/>
    <sheet xmlns:r="http://schemas.openxmlformats.org/officeDocument/2006/relationships" name="R002-审核需求开发与管理过程" sheetId="6" state="visible" r:id="rId6"/>
    <sheet xmlns:r="http://schemas.openxmlformats.org/officeDocument/2006/relationships" name="C003-审核验证与确认过程" sheetId="7" state="visible" r:id="rId7"/>
    <sheet xmlns:r="http://schemas.openxmlformats.org/officeDocument/2006/relationships" name="R003-审核验证与确认过程" sheetId="8" state="visible" r:id="rId8"/>
    <sheet xmlns:r="http://schemas.openxmlformats.org/officeDocument/2006/relationships" name="C004-审核配置管理过程-阶段末" sheetId="9" state="visible" r:id="rId9"/>
    <sheet xmlns:r="http://schemas.openxmlformats.org/officeDocument/2006/relationships" name="R004-审核配置管理过程-阶段末" sheetId="10" state="visible" r:id="rId10"/>
    <sheet xmlns:r="http://schemas.openxmlformats.org/officeDocument/2006/relationships" name="_计算" sheetId="11" state="hidden" r:id="rId11"/>
  </sheets>
  <definedNames>
    <definedName name="_xlnm._FilterDatabase" localSheetId="0" hidden="1">'审核目录'!$A$4:$D$8</definedName>
    <definedName name="_xlnm.Print_Area" localSheetId="0">'审核目录'!$A$1:$D$8</definedName>
    <definedName name="_xlnm.Print_Titles" localSheetId="1">'阶段质量审核工作报告'!$1:$7</definedName>
    <definedName name="_xlnm.Print_Area" localSheetId="1">'阶段质量审核工作报告'!$A$1:$L$20</definedName>
    <definedName name="_xlnm.Print_Titles" localSheetId="2">'C001-相控阵数字样机软件研制任务书'!$1:$6</definedName>
    <definedName name="_xlnm.Print_Area" localSheetId="2">'C001-相控阵数字样机软件研制任务书'!$A$1:$L$28</definedName>
    <definedName name="_xlnm.Print_Titles" localSheetId="3">'R001-相控阵数字样机软件研制任务书'!$1:$12</definedName>
    <definedName name="_xlnm.Print_Area" localSheetId="3">'R001-相控阵数字样机软件研制任务书'!$B$1:$K$18</definedName>
    <definedName name="_xlnm.Print_Titles" localSheetId="4">'C002-审核需求开发与管理过程'!$1:$6</definedName>
    <definedName name="_xlnm.Print_Area" localSheetId="4">'C002-审核需求开发与管理过程'!$A$1:$L$42</definedName>
    <definedName name="_xlnm.Print_Titles" localSheetId="5">'R002-审核需求开发与管理过程'!$1:$12</definedName>
    <definedName name="_xlnm.Print_Area" localSheetId="5">'R002-审核需求开发与管理过程'!$B$1:$K$18</definedName>
    <definedName name="_xlnm.Print_Titles" localSheetId="6">'C003-审核验证与确认过程'!$1:$6</definedName>
    <definedName name="_xlnm.Print_Area" localSheetId="6">'C003-审核验证与确认过程'!$A$1:$L$38</definedName>
    <definedName name="_xlnm.Print_Titles" localSheetId="7">'R003-审核验证与确认过程'!$1:$12</definedName>
    <definedName name="_xlnm.Print_Area" localSheetId="7">'R003-审核验证与确认过程'!$B$1:$K$17</definedName>
    <definedName name="_xlnm.Print_Titles" localSheetId="8">'C004-审核配置管理过程-阶段末'!$1:$6</definedName>
    <definedName name="_xlnm.Print_Area" localSheetId="8">'C004-审核配置管理过程-阶段末'!$A$1:$L$33</definedName>
    <definedName name="_xlnm.Print_Titles" localSheetId="9">'R004-审核配置管理过程-阶段末'!$1:$12</definedName>
    <definedName name="_xlnm.Print_Area" localSheetId="9">'R004-审核配置管理过程-阶段末'!$B$1:$K$17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b val="1"/>
      <color rgb="00FFFFFF"/>
      <sz val="16"/>
    </font>
    <font>
      <name val="宋体"/>
      <b val="1"/>
      <color rgb="00FFFFFF"/>
      <sz val="18"/>
    </font>
    <font>
      <name val="宋体"/>
      <b val="1"/>
      <color rgb="00FFFFFF"/>
      <sz val="12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5" fillId="0" borderId="0"/>
  </cellStyleXfs>
  <cellXfs count="10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5" fillId="0" borderId="1" applyAlignment="1" pivotButton="0" quotePrefix="0" xfId="1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001-&#30456;&#25511;&#38453;&#25968;&#23383;&#26679;&#26426;&#36719;&#20214;&#30740;&#21046;&#20219;&#21153;&#20070;'!A1" TargetMode="External" Id="rId1"/><Relationship Type="http://schemas.openxmlformats.org/officeDocument/2006/relationships/hyperlink" Target="#'R001-&#30456;&#25511;&#38453;&#25968;&#23383;&#26679;&#26426;&#36719;&#20214;&#30740;&#21046;&#20219;&#21153;&#20070;'!A1" TargetMode="External" Id="rId2"/><Relationship Type="http://schemas.openxmlformats.org/officeDocument/2006/relationships/hyperlink" Target="#'C002-&#23457;&#26680;&#38656;&#27714;&#24320;&#21457;&#19982;&#31649;&#29702;&#36807;&#31243;'!A1" TargetMode="External" Id="rId3"/><Relationship Type="http://schemas.openxmlformats.org/officeDocument/2006/relationships/hyperlink" Target="#'R002-&#23457;&#26680;&#38656;&#27714;&#24320;&#21457;&#19982;&#31649;&#29702;&#36807;&#31243;'!A1" TargetMode="External" Id="rId4"/><Relationship Type="http://schemas.openxmlformats.org/officeDocument/2006/relationships/hyperlink" Target="#'C003-&#23457;&#26680;&#39564;&#35777;&#19982;&#30830;&#35748;&#36807;&#31243;'!A1" TargetMode="External" Id="rId5"/><Relationship Type="http://schemas.openxmlformats.org/officeDocument/2006/relationships/hyperlink" Target="#'R003-&#23457;&#26680;&#39564;&#35777;&#19982;&#30830;&#35748;&#36807;&#31243;'!A1" TargetMode="External" Id="rId6"/><Relationship Type="http://schemas.openxmlformats.org/officeDocument/2006/relationships/hyperlink" Target="#'C004-&#23457;&#26680;&#37197;&#32622;&#31649;&#29702;&#36807;&#31243;-&#38454;&#27573;&#26411;'!A1" TargetMode="External" Id="rId7"/><Relationship Type="http://schemas.openxmlformats.org/officeDocument/2006/relationships/hyperlink" Target="#'R004-&#23457;&#26680;&#37197;&#32622;&#31649;&#29702;&#36807;&#31243;-&#38454;&#27573;&#26411;'!A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18" customWidth="1" min="4" max="4"/>
  </cols>
  <sheetData>
    <row r="1">
      <c r="A1" s="1" t="inlineStr">
        <is>
          <t>阶段质量审核记录目录</t>
        </is>
      </c>
      <c r="B1" s="2" t="n"/>
      <c r="C1" s="2" t="n"/>
      <c r="D1" s="2" t="n"/>
    </row>
    <row r="2">
      <c r="A2" s="3" t="inlineStr">
        <is>
          <t>项目：相控阵数字样机软件</t>
        </is>
      </c>
      <c r="B2" s="3" t="n"/>
      <c r="C2" s="3" t="inlineStr">
        <is>
          <t>阶段：系统分析与设计</t>
        </is>
      </c>
      <c r="D2" s="3" t="n"/>
    </row>
    <row r="4">
      <c r="A4" s="4" t="inlineStr">
        <is>
          <t>流水号</t>
        </is>
      </c>
      <c r="B4" s="4" t="inlineStr">
        <is>
          <t>审核对象</t>
        </is>
      </c>
      <c r="C4" s="4" t="inlineStr">
        <is>
          <t>检查单</t>
        </is>
      </c>
      <c r="D4" s="4" t="inlineStr">
        <is>
          <t>审核报告</t>
        </is>
      </c>
    </row>
    <row r="5" ht="18" customHeight="1">
      <c r="A5" s="3" t="n">
        <v>1</v>
      </c>
      <c r="B5" s="3" t="inlineStr">
        <is>
          <t>相控阵数字样机软件研制任务书</t>
        </is>
      </c>
      <c r="C5" s="5" t="inlineStr">
        <is>
          <t>打开检查单</t>
        </is>
      </c>
      <c r="D5" s="5" t="inlineStr">
        <is>
          <t>打开审核报告</t>
        </is>
      </c>
    </row>
    <row r="6" ht="18" customHeight="1">
      <c r="A6" s="3" t="n">
        <v>2</v>
      </c>
      <c r="B6" s="3" t="inlineStr">
        <is>
          <t>审核需求开发与管理过程</t>
        </is>
      </c>
      <c r="C6" s="5" t="inlineStr">
        <is>
          <t>打开检查单</t>
        </is>
      </c>
      <c r="D6" s="5" t="inlineStr">
        <is>
          <t>打开审核报告</t>
        </is>
      </c>
    </row>
    <row r="7" ht="18" customHeight="1">
      <c r="A7" s="3" t="n">
        <v>3</v>
      </c>
      <c r="B7" s="3" t="inlineStr">
        <is>
          <t>审核验证与确认过程</t>
        </is>
      </c>
      <c r="C7" s="5" t="inlineStr">
        <is>
          <t>打开检查单</t>
        </is>
      </c>
      <c r="D7" s="5" t="inlineStr">
        <is>
          <t>打开审核报告</t>
        </is>
      </c>
    </row>
    <row r="8" ht="18" customHeight="1">
      <c r="A8" s="3" t="n">
        <v>4</v>
      </c>
      <c r="B8" s="3" t="inlineStr">
        <is>
          <t>审核配置管理过程-阶段末</t>
        </is>
      </c>
      <c r="C8" s="5" t="inlineStr">
        <is>
          <t>打开检查单</t>
        </is>
      </c>
      <c r="D8" s="5" t="inlineStr">
        <is>
          <t>打开审核报告</t>
        </is>
      </c>
    </row>
  </sheetData>
  <autoFilter ref="A4:D8"/>
  <mergeCells count="3">
    <mergeCell ref="A1:D1"/>
    <mergeCell ref="A2:B2"/>
    <mergeCell ref="C2:D2"/>
  </mergeCells>
  <hyperlinks>
    <hyperlink xmlns:r="http://schemas.openxmlformats.org/officeDocument/2006/relationships" ref="C5" r:id="rId1"/>
    <hyperlink xmlns:r="http://schemas.openxmlformats.org/officeDocument/2006/relationships" ref="D5" r:id="rId2"/>
    <hyperlink xmlns:r="http://schemas.openxmlformats.org/officeDocument/2006/relationships" ref="C6" r:id="rId3"/>
    <hyperlink xmlns:r="http://schemas.openxmlformats.org/officeDocument/2006/relationships" ref="D6" r:id="rId4"/>
    <hyperlink xmlns:r="http://schemas.openxmlformats.org/officeDocument/2006/relationships" ref="C7" r:id="rId5"/>
    <hyperlink xmlns:r="http://schemas.openxmlformats.org/officeDocument/2006/relationships" ref="D7" r:id="rId6"/>
    <hyperlink xmlns:r="http://schemas.openxmlformats.org/officeDocument/2006/relationships" ref="C8" r:id="rId7"/>
    <hyperlink xmlns:r="http://schemas.openxmlformats.org/officeDocument/2006/relationships" ref="D8" r:id="rId8"/>
  </hyperlinks>
  <printOptions horizontalCentered="1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质量审核工作报告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编号：ZDPX-03046/0.0-QA-质量报告-001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3" t="n"/>
      <c r="G3" s="4" t="inlineStr">
        <is>
          <t>报告阶段</t>
        </is>
      </c>
      <c r="H3" s="4" t="n"/>
      <c r="I3" s="3" t="inlineStr">
        <is>
          <t>系统分析与设计</t>
        </is>
      </c>
      <c r="J3" s="3" t="n"/>
      <c r="K3" s="3" t="n"/>
      <c r="L3" s="3" t="n"/>
    </row>
    <row r="4">
      <c r="A4" s="4" t="inlineStr">
        <is>
          <t>报告起止日期</t>
        </is>
      </c>
      <c r="B4" s="4" t="n"/>
      <c r="C4" s="3" t="inlineStr">
        <is>
          <t>2025-12-15 至 2025-12-26</t>
        </is>
      </c>
      <c r="D4" s="3" t="n"/>
      <c r="E4" s="3" t="n"/>
      <c r="F4" s="3" t="n"/>
      <c r="G4" s="4" t="inlineStr">
        <is>
          <t>项目QA</t>
        </is>
      </c>
      <c r="H4" s="4" t="n"/>
      <c r="I4" s="3" t="inlineStr">
        <is>
          <t>高蕾</t>
        </is>
      </c>
      <c r="J4" s="3" t="n"/>
      <c r="K4" s="3" t="n"/>
      <c r="L4" s="3" t="n"/>
    </row>
    <row r="6">
      <c r="A6" s="4" t="inlineStr">
        <is>
          <t>审核情况汇总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inlineStr">
        <is>
          <t>流水号</t>
        </is>
      </c>
      <c r="B7" s="4" t="inlineStr">
        <is>
          <t>审核对象</t>
        </is>
      </c>
      <c r="C7" s="4" t="inlineStr">
        <is>
          <t>审核日期</t>
        </is>
      </c>
      <c r="D7" s="4" t="inlineStr">
        <is>
          <t>节点</t>
        </is>
      </c>
      <c r="E7" s="4" t="inlineStr">
        <is>
          <t>NC类型</t>
        </is>
      </c>
      <c r="F7" s="4" t="inlineStr">
        <is>
          <t>问题描述</t>
        </is>
      </c>
      <c r="G7" s="4" t="inlineStr"/>
      <c r="H7" s="4" t="inlineStr"/>
      <c r="I7" s="4" t="inlineStr"/>
      <c r="J7" s="4" t="inlineStr">
        <is>
          <t>严重程度</t>
        </is>
      </c>
      <c r="K7" s="4" t="inlineStr">
        <is>
          <t>是否关闭</t>
        </is>
      </c>
      <c r="L7" s="4" t="inlineStr">
        <is>
          <t>审核状态</t>
        </is>
      </c>
    </row>
    <row r="8">
      <c r="A8" s="6" t="inlineStr">
        <is>
          <t>未匹配节点汇总：未匹配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30" customHeight="1">
      <c r="A9" s="3" t="n">
        <v>1</v>
      </c>
      <c r="B9" s="3">
        <f>'_计算'!B2</f>
        <v/>
      </c>
      <c r="C9" s="3" t="inlineStr">
        <is>
          <t>2025-12-24</t>
        </is>
      </c>
      <c r="D9" s="3" t="inlineStr">
        <is>
          <t>未匹配节点</t>
        </is>
      </c>
      <c r="E9" s="3">
        <f>'_计算'!D2</f>
        <v/>
      </c>
      <c r="F9" s="3">
        <f>'_计算'!E2</f>
        <v/>
      </c>
      <c r="G9" s="3" t="n"/>
      <c r="H9" s="3" t="n"/>
      <c r="I9" s="3" t="n"/>
      <c r="J9" s="3">
        <f>'_计算'!F2</f>
        <v/>
      </c>
      <c r="K9" s="3">
        <f>'_计算'!G2</f>
        <v/>
      </c>
      <c r="L9" s="3" t="inlineStr">
        <is>
          <t>未确认</t>
        </is>
      </c>
    </row>
    <row r="10" ht="30" customHeight="1">
      <c r="A10" s="3" t="n">
        <v>1</v>
      </c>
      <c r="B10" s="3">
        <f>'_计算'!B3</f>
        <v/>
      </c>
      <c r="C10" s="3" t="inlineStr">
        <is>
          <t>2025-12-24</t>
        </is>
      </c>
      <c r="D10" s="3" t="inlineStr">
        <is>
          <t>未匹配节点</t>
        </is>
      </c>
      <c r="E10" s="3">
        <f>'_计算'!D3</f>
        <v/>
      </c>
      <c r="F10" s="3">
        <f>'_计算'!E3</f>
        <v/>
      </c>
      <c r="G10" s="3" t="n"/>
      <c r="H10" s="3" t="n"/>
      <c r="I10" s="3" t="n"/>
      <c r="J10" s="3">
        <f>'_计算'!F3</f>
        <v/>
      </c>
      <c r="K10" s="3">
        <f>'_计算'!G3</f>
        <v/>
      </c>
      <c r="L10" s="3" t="inlineStr">
        <is>
          <t>未确认</t>
        </is>
      </c>
    </row>
    <row r="11" ht="30" customHeight="1">
      <c r="A11" s="3" t="n">
        <v>2</v>
      </c>
      <c r="B11" s="3">
        <f>'_计算'!B4</f>
        <v/>
      </c>
      <c r="C11" s="3" t="inlineStr">
        <is>
          <t>2025-12-25</t>
        </is>
      </c>
      <c r="D11" s="3" t="inlineStr">
        <is>
          <t>未匹配节点</t>
        </is>
      </c>
      <c r="E11" s="3">
        <f>'_计算'!D4</f>
        <v/>
      </c>
      <c r="F11" s="3">
        <f>'_计算'!E4</f>
        <v/>
      </c>
      <c r="G11" s="3" t="n"/>
      <c r="H11" s="3" t="n"/>
      <c r="I11" s="3" t="n"/>
      <c r="J11" s="3">
        <f>'_计算'!F4</f>
        <v/>
      </c>
      <c r="K11" s="3">
        <f>'_计算'!G4</f>
        <v/>
      </c>
      <c r="L11" s="3" t="inlineStr">
        <is>
          <t>未确认</t>
        </is>
      </c>
    </row>
    <row r="12" ht="30" customHeight="1">
      <c r="A12" s="3" t="n">
        <v>2</v>
      </c>
      <c r="B12" s="3">
        <f>'_计算'!B5</f>
        <v/>
      </c>
      <c r="C12" s="3" t="inlineStr">
        <is>
          <t>2025-12-25</t>
        </is>
      </c>
      <c r="D12" s="3" t="inlineStr">
        <is>
          <t>未匹配节点</t>
        </is>
      </c>
      <c r="E12" s="3">
        <f>'_计算'!D5</f>
        <v/>
      </c>
      <c r="F12" s="3">
        <f>'_计算'!E5</f>
        <v/>
      </c>
      <c r="G12" s="3" t="n"/>
      <c r="H12" s="3" t="n"/>
      <c r="I12" s="3" t="n"/>
      <c r="J12" s="3">
        <f>'_计算'!F5</f>
        <v/>
      </c>
      <c r="K12" s="3">
        <f>'_计算'!G5</f>
        <v/>
      </c>
      <c r="L12" s="3" t="inlineStr">
        <is>
          <t>未确认</t>
        </is>
      </c>
    </row>
    <row r="13" ht="18" customHeight="1">
      <c r="A13" s="3" t="n">
        <v>3</v>
      </c>
      <c r="B13" s="3" t="inlineStr">
        <is>
          <t>审核验证与确认过程</t>
        </is>
      </c>
      <c r="C13" s="3" t="inlineStr">
        <is>
          <t>2025-12-25</t>
        </is>
      </c>
      <c r="D13" s="3" t="inlineStr">
        <is>
          <t>未匹配节点</t>
        </is>
      </c>
      <c r="E13" s="3" t="n"/>
      <c r="F13" s="3" t="inlineStr">
        <is>
          <t>未发现不符合项</t>
        </is>
      </c>
      <c r="G13" s="3" t="n"/>
      <c r="H13" s="3" t="n"/>
      <c r="I13" s="3" t="n"/>
      <c r="J13" s="3" t="n"/>
      <c r="K13" s="3" t="n"/>
      <c r="L13" s="3" t="inlineStr">
        <is>
          <t>未确认</t>
        </is>
      </c>
    </row>
    <row r="14" ht="18" customHeight="1">
      <c r="A14" s="3" t="n">
        <v>4</v>
      </c>
      <c r="B14" s="3" t="inlineStr">
        <is>
          <t>审核配置管理过程-阶段末</t>
        </is>
      </c>
      <c r="C14" s="3" t="inlineStr">
        <is>
          <t>2025-12-26</t>
        </is>
      </c>
      <c r="D14" s="3" t="inlineStr">
        <is>
          <t>未匹配节点</t>
        </is>
      </c>
      <c r="E14" s="3" t="n"/>
      <c r="F14" s="3" t="inlineStr">
        <is>
          <t>未发现不符合项</t>
        </is>
      </c>
      <c r="G14" s="3" t="n"/>
      <c r="H14" s="3" t="n"/>
      <c r="I14" s="3" t="n"/>
      <c r="J14" s="3" t="n"/>
      <c r="K14" s="3" t="n"/>
      <c r="L14" s="3" t="inlineStr">
        <is>
          <t>未确认</t>
        </is>
      </c>
    </row>
    <row r="15">
      <c r="A15" s="7" t="inlineStr">
        <is>
          <t>节点统计</t>
        </is>
      </c>
      <c r="B15" s="7" t="n"/>
      <c r="C15" s="7" t="n"/>
      <c r="D15" s="7" t="n"/>
      <c r="E15" s="7" t="inlineStr">
        <is>
          <t>NC总数</t>
        </is>
      </c>
      <c r="F15" s="7">
        <f>COUNTIF(J9:J14,"?*")</f>
        <v/>
      </c>
      <c r="G15" s="7" t="inlineStr">
        <is>
          <t>未关闭</t>
        </is>
      </c>
      <c r="H15" s="7">
        <f>COUNTIF(K9:K14,"否")</f>
        <v/>
      </c>
      <c r="I15" s="7" t="inlineStr">
        <is>
          <t>严重</t>
        </is>
      </c>
      <c r="J15" s="7">
        <f>COUNTIF(J9:J14,"严重")</f>
        <v/>
      </c>
      <c r="K15" s="7" t="n"/>
      <c r="L15" s="7" t="n"/>
    </row>
    <row r="17">
      <c r="A17" s="8" t="inlineStr">
        <is>
          <t>阶段汇总统计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7" t="inlineStr">
        <is>
          <t>产品NC总数</t>
        </is>
      </c>
      <c r="B18" s="7">
        <f>COUNTIF('_计算'!D2:D5,"工作产品")</f>
        <v/>
      </c>
      <c r="C18" s="7" t="inlineStr">
        <is>
          <t>过程NC总数</t>
        </is>
      </c>
      <c r="D18" s="7">
        <f>COUNTIFS('_计算'!D2:D5,"&lt;&gt;工作产品",'_计算'!D2:D5,"&lt;&gt;")</f>
        <v/>
      </c>
      <c r="E18" s="7" t="inlineStr">
        <is>
          <t>未关闭NC数</t>
        </is>
      </c>
      <c r="F18" s="7">
        <f>COUNTIF('_计算'!G2:G5,"否")</f>
        <v/>
      </c>
      <c r="G18" s="7" t="inlineStr">
        <is>
          <t>轻微</t>
        </is>
      </c>
      <c r="H18" s="7">
        <f>COUNTIF('_计算'!F2:F5,"轻微")</f>
        <v/>
      </c>
      <c r="I18" s="7" t="inlineStr">
        <is>
          <t>一般</t>
        </is>
      </c>
      <c r="J18" s="7">
        <f>COUNTIF('_计算'!F2:F5,"一般")</f>
        <v/>
      </c>
      <c r="K18" s="7" t="inlineStr">
        <is>
          <t>严重</t>
        </is>
      </c>
      <c r="L18" s="7">
        <f>COUNTIF('_计算'!F2:F5,"严重")</f>
        <v/>
      </c>
    </row>
    <row r="19">
      <c r="A19" s="4" t="inlineStr">
        <is>
          <t>RDM</t>
        </is>
      </c>
      <c r="B19" s="4" t="inlineStr">
        <is>
          <t>PP</t>
        </is>
      </c>
      <c r="C19" s="4" t="inlineStr">
        <is>
          <t>PMC</t>
        </is>
      </c>
      <c r="D19" s="4" t="inlineStr">
        <is>
          <t>CM</t>
        </is>
      </c>
      <c r="E19" s="4" t="inlineStr">
        <is>
          <t>MT</t>
        </is>
      </c>
      <c r="F19" s="4" t="inlineStr">
        <is>
          <t>MPM</t>
        </is>
      </c>
      <c r="G19" s="4" t="inlineStr">
        <is>
          <t>VV</t>
        </is>
      </c>
      <c r="H19" s="4" t="inlineStr">
        <is>
          <t>LD</t>
        </is>
      </c>
      <c r="I19" s="4" t="inlineStr">
        <is>
          <t>II</t>
        </is>
      </c>
      <c r="J19" s="4" t="inlineStr">
        <is>
          <t>工作产品</t>
        </is>
      </c>
      <c r="K19" s="4" t="inlineStr">
        <is>
          <t>总计</t>
        </is>
      </c>
    </row>
    <row r="20">
      <c r="A20" s="4">
        <f>COUNTIF('_计算'!D2:D5,"RDM")</f>
        <v/>
      </c>
      <c r="B20" s="4">
        <f>COUNTIF('_计算'!D2:D5,"PP")</f>
        <v/>
      </c>
      <c r="C20" s="4">
        <f>COUNTIF('_计算'!D2:D5,"PMC")</f>
        <v/>
      </c>
      <c r="D20" s="4">
        <f>COUNTIF('_计算'!D2:D5,"CM")</f>
        <v/>
      </c>
      <c r="E20" s="4">
        <f>COUNTIF('_计算'!D2:D5,"MT")</f>
        <v/>
      </c>
      <c r="F20" s="4">
        <f>COUNTIF('_计算'!D2:D5,"MPM")</f>
        <v/>
      </c>
      <c r="G20" s="4">
        <f>COUNTIF('_计算'!D2:D5,"VV")</f>
        <v/>
      </c>
      <c r="H20" s="4">
        <f>COUNTIF('_计算'!D2:D5,"LD")</f>
        <v/>
      </c>
      <c r="I20" s="4">
        <f>COUNTIF('_计算'!D2:D5,"II")</f>
        <v/>
      </c>
      <c r="J20" s="4">
        <f>COUNTIF('_计算'!D2:D5,"工作产品")</f>
        <v/>
      </c>
      <c r="K20" s="4">
        <f>SUM(A20:J20)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0">
    <mergeCell ref="F13:I13"/>
    <mergeCell ref="F9:I9"/>
    <mergeCell ref="I4:L4"/>
    <mergeCell ref="F14:I14"/>
    <mergeCell ref="A2:L2"/>
    <mergeCell ref="C3:F3"/>
    <mergeCell ref="F11:I11"/>
    <mergeCell ref="A8:L8"/>
    <mergeCell ref="A15:D15"/>
    <mergeCell ref="A17:L17"/>
    <mergeCell ref="F10:I10"/>
    <mergeCell ref="A3:B3"/>
    <mergeCell ref="G3:H3"/>
    <mergeCell ref="C4:F4"/>
    <mergeCell ref="F12:I12"/>
    <mergeCell ref="A4:B4"/>
    <mergeCell ref="G4:H4"/>
    <mergeCell ref="I3:L3"/>
    <mergeCell ref="A1:L1"/>
    <mergeCell ref="A6:L6"/>
  </mergeCells>
  <printOptions horizontalCentered="1"/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软件研制任务书检查单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编号：ZDPX-03046/0.0-QA-检查单-001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系统分析与设计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相控阵数字样机软件研制任务书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ZDPX03046/0.0-YZRW</t>
        </is>
      </c>
      <c r="I4" s="3" t="n"/>
      <c r="J4" s="4" t="inlineStr">
        <is>
          <t>产品版本</t>
        </is>
      </c>
      <c r="K4" s="4" t="n"/>
      <c r="L4" s="3" t="inlineStr">
        <is>
          <t>V1.0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文档编写是否符合模板的规范性要求。</t>
        </is>
      </c>
      <c r="C8" s="3" t="n"/>
      <c r="D8" s="3" t="n"/>
      <c r="E8" s="3" t="n"/>
      <c r="F8" s="3" t="n"/>
      <c r="G8" s="3" t="n"/>
      <c r="H8" s="3" t="inlineStr">
        <is>
          <t>✓</t>
        </is>
      </c>
      <c r="I8" s="3" t="n"/>
      <c r="J8" s="3" t="inlineStr">
        <is>
          <t>一般</t>
        </is>
      </c>
      <c r="K8" s="3" t="inlineStr">
        <is>
          <t>必要内容覆盖不完整</t>
        </is>
      </c>
      <c r="L8" s="3" t="n"/>
    </row>
    <row r="9" ht="18" customHeight="1">
      <c r="A9" s="3" t="inlineStr">
        <is>
          <t>2</t>
        </is>
      </c>
      <c r="B9" s="3" t="inlineStr">
        <is>
          <t>是否清楚描述了软件运行必需的软硬件环境要求。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3*</t>
        </is>
      </c>
      <c r="B10" s="3" t="inlineStr">
        <is>
          <t>是否准确清晰的描述了需要由软件产品完成的所有功能要求，并进行了标识。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4*</t>
        </is>
      </c>
      <c r="B11" s="3" t="inlineStr">
        <is>
          <t>是否准确清晰的描述了软件产品要满足的所有性能要求，并进行了标识。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5*</t>
        </is>
      </c>
      <c r="B12" s="3" t="inlineStr">
        <is>
          <t>是否准确清晰的描述软件产品的外部接口要求，并进行了标识。</t>
        </is>
      </c>
      <c r="C12" s="3" t="n"/>
      <c r="D12" s="3" t="n"/>
      <c r="E12" s="3" t="n"/>
      <c r="F12" s="3" t="n"/>
      <c r="G12" s="3" t="n"/>
      <c r="H12" s="3" t="inlineStr">
        <is>
          <t>✓</t>
        </is>
      </c>
      <c r="I12" s="3" t="n"/>
      <c r="J12" s="3" t="inlineStr">
        <is>
          <t>严重</t>
        </is>
      </c>
      <c r="K12" s="3" t="inlineStr">
        <is>
          <t>必要内容覆盖不完整</t>
        </is>
      </c>
      <c r="L12" s="3" t="n"/>
    </row>
    <row r="13" ht="18" customHeight="1">
      <c r="A13" s="3" t="inlineStr">
        <is>
          <t>6</t>
        </is>
      </c>
      <c r="B13" s="3" t="inlineStr">
        <is>
          <t>是否准确清晰的描述了对数据参数的处理要求，并进行了标识。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30" customHeight="1">
      <c r="A14" s="3" t="inlineStr">
        <is>
          <t>7</t>
        </is>
      </c>
      <c r="B14" s="3" t="inlineStr">
        <is>
          <t>是否准确清晰的描述了对软件产品的其它关键性要求，如可靠性、安全性、保密性等要求，并进行了标识。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30" customHeight="1">
      <c r="A15" s="3" t="inlineStr">
        <is>
          <t>8</t>
        </is>
      </c>
      <c r="B15" s="3" t="inlineStr">
        <is>
          <t>是否准确清晰的描述了对软件设计有约束的相关要求，如编程语言、开发环境和工具、重用性、数学模型和算法等。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9*</t>
        </is>
      </c>
      <c r="B16" s="3" t="inlineStr">
        <is>
          <t>是否明确描述了软件的关键性等级并说明原因。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是否给出了软件开发应遵循的标准。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是否给出了应有的开发文档清单及对文档的评审要求和规范性要求。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</t>
        </is>
      </c>
      <c r="B19" s="3" t="inlineStr">
        <is>
          <t>是否描述了软件的配置管理要求。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13*</t>
        </is>
      </c>
      <c r="B20" s="3" t="inlineStr">
        <is>
          <t>是否描述了软件的测试要求。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14*</t>
        </is>
      </c>
      <c r="B21" s="3" t="inlineStr">
        <is>
          <t>当存在分承制方时，是否描述了对分承制方的要求。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是否描述了软件的交付要求和移交后的保障维护要求。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16*</t>
        </is>
      </c>
      <c r="B23" s="3" t="inlineStr">
        <is>
          <t>是否明确给出了项目的进度要求、里程碑节点及合同甲方或用户需参加的评审活动？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5">
      <c r="A25" s="7" t="inlineStr">
        <is>
          <t>不符合项问题明细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>
      <c r="A26" s="4" t="inlineStr">
        <is>
          <t>问题ID</t>
        </is>
      </c>
      <c r="B26" s="4" t="inlineStr">
        <is>
          <t>检查项</t>
        </is>
      </c>
      <c r="C26" s="4" t="inlineStr">
        <is>
          <t>问题描述</t>
        </is>
      </c>
      <c r="D26" s="4" t="inlineStr"/>
      <c r="E26" s="4" t="inlineStr"/>
      <c r="F26" s="4" t="inlineStr">
        <is>
          <t>严重程度</t>
        </is>
      </c>
      <c r="G26" s="4" t="inlineStr">
        <is>
          <t>责任人</t>
        </is>
      </c>
      <c r="H26" s="4" t="inlineStr">
        <is>
          <t>提交日期</t>
        </is>
      </c>
      <c r="I26" s="4" t="inlineStr">
        <is>
          <t>计划关闭日期</t>
        </is>
      </c>
      <c r="J26" s="4" t="inlineStr">
        <is>
          <t>纠正措施</t>
        </is>
      </c>
      <c r="K26" s="4" t="inlineStr"/>
      <c r="L26" s="4" t="inlineStr">
        <is>
          <t>关闭</t>
        </is>
      </c>
    </row>
    <row r="27" ht="30" customHeight="1">
      <c r="A27" s="3" t="n">
        <v>1</v>
      </c>
      <c r="B27" s="3" t="inlineStr">
        <is>
          <t>1</t>
        </is>
      </c>
      <c r="C27" s="3" t="inlineStr">
        <is>
          <t>相关工作产品未完整覆盖本检查项要求的必要内容和适用场景，当前结果不能支撑该项要求已经全部落实。</t>
        </is>
      </c>
      <c r="D27" s="3" t="n"/>
      <c r="E27" s="3" t="n"/>
      <c r="F27" s="3" t="inlineStr">
        <is>
          <t>一般</t>
        </is>
      </c>
      <c r="G27" s="3" t="inlineStr">
        <is>
          <t>赵要浦</t>
        </is>
      </c>
      <c r="H27" s="3" t="inlineStr">
        <is>
          <t>2025-12-24</t>
        </is>
      </c>
      <c r="I27" s="3" t="inlineStr">
        <is>
          <t>2025-12-25</t>
        </is>
      </c>
      <c r="J27" s="3" t="inlineStr">
        <is>
          <t>补齐遗漏内容和适用场景，核对相关输入后组织复核，并保留复核结论。</t>
        </is>
      </c>
      <c r="K27" s="3" t="n"/>
      <c r="L27" s="3" t="inlineStr">
        <is>
          <t>否</t>
        </is>
      </c>
    </row>
    <row r="28" ht="30" customHeight="1">
      <c r="A28" s="3" t="n">
        <v>2</v>
      </c>
      <c r="B28" s="3" t="inlineStr">
        <is>
          <t>5</t>
        </is>
      </c>
      <c r="C28" s="3" t="inlineStr">
        <is>
          <t>相关工作产品未完整覆盖本检查项要求的必要内容和适用场景，当前结果不能支撑该项要求已经全部落实。</t>
        </is>
      </c>
      <c r="D28" s="3" t="n"/>
      <c r="E28" s="3" t="n"/>
      <c r="F28" s="3" t="inlineStr">
        <is>
          <t>严重</t>
        </is>
      </c>
      <c r="G28" s="3" t="inlineStr">
        <is>
          <t>赵要浦</t>
        </is>
      </c>
      <c r="H28" s="3" t="inlineStr">
        <is>
          <t>2025-12-24</t>
        </is>
      </c>
      <c r="I28" s="3" t="inlineStr">
        <is>
          <t>2025-12-25</t>
        </is>
      </c>
      <c r="J28" s="3" t="inlineStr">
        <is>
          <t>补齐遗漏内容和适用场景，核对相关输入后组织复核，并保留复核结论。</t>
        </is>
      </c>
      <c r="K28" s="3" t="n"/>
      <c r="L28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0">
    <mergeCell ref="K16:L16"/>
    <mergeCell ref="F4:G4"/>
    <mergeCell ref="A7:L7"/>
    <mergeCell ref="A25:L25"/>
    <mergeCell ref="B16:F16"/>
    <mergeCell ref="K15:L15"/>
    <mergeCell ref="K9:L9"/>
    <mergeCell ref="H4:I4"/>
    <mergeCell ref="B22:F22"/>
    <mergeCell ref="J28:K28"/>
    <mergeCell ref="B18:F18"/>
    <mergeCell ref="K21:L21"/>
    <mergeCell ref="F3:G3"/>
    <mergeCell ref="B21:F21"/>
    <mergeCell ref="A2:L2"/>
    <mergeCell ref="B12:F12"/>
    <mergeCell ref="K11:L11"/>
    <mergeCell ref="K20:L20"/>
    <mergeCell ref="C27:E27"/>
    <mergeCell ref="B11:F11"/>
    <mergeCell ref="B23:F23"/>
    <mergeCell ref="J27:K27"/>
    <mergeCell ref="B8:F8"/>
    <mergeCell ref="B14:F14"/>
    <mergeCell ref="K22:L22"/>
    <mergeCell ref="A3:B3"/>
    <mergeCell ref="B17:F17"/>
    <mergeCell ref="B13:F13"/>
    <mergeCell ref="J4:K4"/>
    <mergeCell ref="C28:E28"/>
    <mergeCell ref="K12:L12"/>
    <mergeCell ref="K8:L8"/>
    <mergeCell ref="B10:F10"/>
    <mergeCell ref="B19:F19"/>
    <mergeCell ref="C3:E3"/>
    <mergeCell ref="K23:L23"/>
    <mergeCell ref="K14:L14"/>
    <mergeCell ref="B9:F9"/>
    <mergeCell ref="K17:L17"/>
    <mergeCell ref="H3:I3"/>
    <mergeCell ref="A4:B4"/>
    <mergeCell ref="J3:K3"/>
    <mergeCell ref="B20:F20"/>
    <mergeCell ref="B15:F15"/>
    <mergeCell ref="A1:L1"/>
    <mergeCell ref="K10:L10"/>
    <mergeCell ref="C4:E4"/>
    <mergeCell ref="K19:L19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编号：ZDPX-03046/0.0-QA-审核报告-001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系统分析与设计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相控阵数字样机软件研制任务书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2025-12-24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ZDPX-03046/0.0-QA-检查单-001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本次审核依据《软件研制任务书检查单》实施。经审核，发现2个不符合项。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'C001-相控阵数字样机软件研制任务书'!C27</f>
        <v/>
      </c>
      <c r="D13" s="3" t="n"/>
      <c r="E13" s="3" t="n"/>
      <c r="F13" s="3">
        <f>'C001-相控阵数字样机软件研制任务书'!F27</f>
        <v/>
      </c>
      <c r="G13" s="3">
        <f>'C001-相控阵数字样机软件研制任务书'!G27</f>
        <v/>
      </c>
      <c r="H13" s="3">
        <f>'C001-相控阵数字样机软件研制任务书'!H27</f>
        <v/>
      </c>
      <c r="I13" s="3">
        <f>'C001-相控阵数字样机软件研制任务书'!I27</f>
        <v/>
      </c>
      <c r="J13" s="3">
        <f>'C001-相控阵数字样机软件研制任务书'!J27</f>
        <v/>
      </c>
      <c r="K13" s="3" t="n"/>
    </row>
    <row r="14" ht="30" customHeight="1">
      <c r="B14" s="3" t="n">
        <v>2</v>
      </c>
      <c r="C14" s="3">
        <f>'C001-相控阵数字样机软件研制任务书'!C28</f>
        <v/>
      </c>
      <c r="D14" s="3" t="n"/>
      <c r="E14" s="3" t="n"/>
      <c r="F14" s="3">
        <f>'C001-相控阵数字样机软件研制任务书'!F28</f>
        <v/>
      </c>
      <c r="G14" s="3">
        <f>'C001-相控阵数字样机软件研制任务书'!G28</f>
        <v/>
      </c>
      <c r="H14" s="3">
        <f>'C001-相控阵数字样机软件研制任务书'!H28</f>
        <v/>
      </c>
      <c r="I14" s="3">
        <f>'C001-相控阵数字样机软件研制任务书'!I28</f>
        <v/>
      </c>
      <c r="J14" s="3">
        <f>'C001-相控阵数字样机软件研制任务书'!J28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需求开发与管理检查单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编号：ZDPX-03046/0.0-QA-检查单-002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系统分析与设计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审核需求开发与管理过程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需求开发与确认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30" customHeight="1">
      <c r="A8" s="3" t="inlineStr">
        <is>
          <t>1*</t>
        </is>
      </c>
      <c r="B8" s="3" t="inlineStr">
        <is>
          <t>是否对顾客需求进行了开发并编制了顾客需求文档？（技术协议、软件研制任务书初稿、顾客需求列表等）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是否明确了本项目的需求提供者？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30" customHeight="1">
      <c r="A10" s="3" t="inlineStr">
        <is>
          <t>3</t>
        </is>
      </c>
      <c r="B10" s="3" t="inlineStr">
        <is>
          <t>对文档化的初始顾客需求，是否组织了需求研讨？ （软件研制任务书的研讨、技术协议的研讨等）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需求提供者及其他利益相关方有无参加顾客需求研讨？研讨活动有无留存记录？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30" customHeight="1">
      <c r="A12" s="3" t="inlineStr">
        <is>
          <t>5*</t>
        </is>
      </c>
      <c r="B12" s="3" t="inlineStr">
        <is>
          <t>需求提供者、利益相关方和项目参与者对顾客需求有无达成共识？项目参与者对顾客需求有无作出承诺？（软件研制任务书的评审、合同流转签署等）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30" customHeight="1">
      <c r="A13" s="3" t="inlineStr">
        <is>
          <t>6*</t>
        </is>
      </c>
      <c r="B13" s="3" t="inlineStr">
        <is>
          <t>有无对系统或软件的运行方案和场景进行开发和定义，并体现在相应的文档中？（系统规格、软件需规、技术方案、运行方案等）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有无和利益相关方一起对运行方案和场景进行评审？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产品和产品部件需求开发是否以顾客需求或系统分配需求（功能基线）作为输入？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30" customHeight="1">
      <c r="A16" s="3" t="inlineStr">
        <is>
          <t>9</t>
        </is>
      </c>
      <c r="B16" s="3" t="inlineStr">
        <is>
          <t>对产品和产品部件需求的开发，除功能需求外，有无包含性能、接口、可靠性、安全性等非功能需求的开发？</t>
        </is>
      </c>
      <c r="C16" s="3" t="n"/>
      <c r="D16" s="3" t="n"/>
      <c r="E16" s="3" t="n"/>
      <c r="F16" s="3" t="n"/>
      <c r="G16" s="3" t="n"/>
      <c r="H16" s="3" t="inlineStr">
        <is>
          <t>✓</t>
        </is>
      </c>
      <c r="I16" s="3" t="n"/>
      <c r="J16" s="3" t="inlineStr">
        <is>
          <t>一般</t>
        </is>
      </c>
      <c r="K16" s="3" t="inlineStr">
        <is>
          <t>必要内容覆盖不完整</t>
        </is>
      </c>
      <c r="L16" s="3" t="n"/>
    </row>
    <row r="17" ht="18" customHeight="1">
      <c r="A17" s="3" t="inlineStr">
        <is>
          <t>10</t>
        </is>
      </c>
      <c r="B17" s="3" t="inlineStr">
        <is>
          <t>产品和产品部件需求开发的结果是否文档化？（系统规格、软件需规）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30" customHeight="1">
      <c r="A18" s="3" t="inlineStr">
        <is>
          <t>11*</t>
        </is>
      </c>
      <c r="B18" s="3" t="inlineStr">
        <is>
          <t>有无对需求的必要性和充分性进行分析，并与利益相关方一起确认需求？（系统规格、软件需规的评审）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是否以通过评审、批准的软件需求规格说明作为软件设计的依据？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软件设计结果是否文档化？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14*</t>
        </is>
      </c>
      <c r="B21" s="3" t="inlineStr">
        <is>
          <t>软件设计说明是否通过评审？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15*</t>
        </is>
      </c>
      <c r="B22" s="3" t="inlineStr">
        <is>
          <t>是否以通过评审、批准的软件设计说明作为编码的依据？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16*</t>
        </is>
      </c>
      <c r="B23" s="3" t="inlineStr">
        <is>
          <t>源代码是否通过了各级测试？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>
      <c r="A24" s="6" t="inlineStr">
        <is>
          <t>需求管理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18" customHeight="1">
      <c r="A25" s="3" t="inlineStr">
        <is>
          <t>17*</t>
        </is>
      </c>
      <c r="B25" s="3" t="inlineStr">
        <is>
          <t>软件研制任务书评审通过后，是否建立了功能基线？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18*</t>
        </is>
      </c>
      <c r="B26" s="3" t="inlineStr">
        <is>
          <t>软件需规评审通过后，是否建立了分配基线？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19*</t>
        </is>
      </c>
      <c r="B27" s="3" t="inlineStr">
        <is>
          <t>是否按照体系规定的追踪关系，在生成的各文档中都填写了正向和逆向追踪表。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30" customHeight="1">
      <c r="A28" s="3" t="inlineStr">
        <is>
          <t>20</t>
        </is>
      </c>
      <c r="B28" s="3" t="inlineStr">
        <is>
          <t>项目负责人发现需求管理问题时，是否依据《项目监控过程》的要求填写了“项目问题跟踪表”。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21</t>
        </is>
      </c>
      <c r="B29" s="3" t="inlineStr">
        <is>
          <t>发现的需求管理问题是否在项目工作例会上通报，并跟踪直至问题关闭。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22</t>
        </is>
      </c>
      <c r="B30" s="3" t="inlineStr">
        <is>
          <t>项目负责人是否在项目阶段总结、里程碑评审前形成需求管理情况工作报告？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23*</t>
        </is>
      </c>
      <c r="B31" s="3" t="inlineStr">
        <is>
          <t>顾客需求的变更是否得到合同甲方或用户的认可？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24*</t>
        </is>
      </c>
      <c r="B32" s="3" t="inlineStr">
        <is>
          <t>需求发生变更时，是否填写了变更申请单，说明了需变更的内容并进行了影响域分析？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25*</t>
        </is>
      </c>
      <c r="B33" s="3" t="inlineStr">
        <is>
          <t>变更申请是否经过了评估，并得到了批准？批准的权限是否正确？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26</t>
        </is>
      </c>
      <c r="B34" s="3" t="inlineStr">
        <is>
          <t>需求发生变更时，是否更新了受影响的各项工作产品？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5" ht="18" customHeight="1">
      <c r="A35" s="3" t="inlineStr">
        <is>
          <t>27</t>
        </is>
      </c>
      <c r="B35" s="3" t="inlineStr">
        <is>
          <t>需求变更完成后，是否通过评审、测试等方式对变更情况进行确认，并填写了变更报告</t>
        </is>
      </c>
      <c r="C35" s="3" t="n"/>
      <c r="D35" s="3" t="n"/>
      <c r="E35" s="3" t="n"/>
      <c r="F35" s="3" t="n"/>
      <c r="G35" s="3" t="n"/>
      <c r="H35" s="3" t="inlineStr">
        <is>
          <t>✓</t>
        </is>
      </c>
      <c r="I35" s="3" t="n"/>
      <c r="J35" s="3" t="inlineStr">
        <is>
          <t>一般</t>
        </is>
      </c>
      <c r="K35" s="3" t="inlineStr">
        <is>
          <t>必要内容覆盖不完整</t>
        </is>
      </c>
      <c r="L35" s="3" t="n"/>
    </row>
    <row r="36" ht="18" customHeight="1">
      <c r="A36" s="3" t="inlineStr">
        <is>
          <t>28</t>
        </is>
      </c>
      <c r="B36" s="3" t="inlineStr">
        <is>
          <t>需求变更完成后是否更新了受控库中的功能基线或分配基线并发布？</t>
        </is>
      </c>
      <c r="C36" s="3" t="n"/>
      <c r="D36" s="3" t="n"/>
      <c r="E36" s="3" t="n"/>
      <c r="F36" s="3" t="n"/>
      <c r="G36" s="3" t="inlineStr">
        <is>
          <t>✓</t>
        </is>
      </c>
      <c r="H36" s="3" t="n"/>
      <c r="I36" s="3" t="n"/>
      <c r="J36" s="3" t="inlineStr"/>
      <c r="K36" s="3" t="inlineStr"/>
      <c r="L36" s="3" t="n"/>
    </row>
    <row r="37" ht="18" customHeight="1">
      <c r="A37" s="3" t="inlineStr">
        <is>
          <t>29*</t>
        </is>
      </c>
      <c r="B37" s="3" t="inlineStr">
        <is>
          <t>当变更影响对外承诺时，是否由公司软件配置控制委员会进行了审批？</t>
        </is>
      </c>
      <c r="C37" s="3" t="n"/>
      <c r="D37" s="3" t="n"/>
      <c r="E37" s="3" t="n"/>
      <c r="F37" s="3" t="n"/>
      <c r="G37" s="3" t="inlineStr">
        <is>
          <t>✓</t>
        </is>
      </c>
      <c r="H37" s="3" t="n"/>
      <c r="I37" s="3" t="n"/>
      <c r="J37" s="3" t="inlineStr"/>
      <c r="K37" s="3" t="inlineStr"/>
      <c r="L37" s="3" t="n"/>
    </row>
    <row r="39">
      <c r="A39" s="7" t="inlineStr">
        <is>
          <t>不符合项问题明细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A40" s="4" t="inlineStr">
        <is>
          <t>问题ID</t>
        </is>
      </c>
      <c r="B40" s="4" t="inlineStr">
        <is>
          <t>检查项</t>
        </is>
      </c>
      <c r="C40" s="4" t="inlineStr">
        <is>
          <t>问题描述</t>
        </is>
      </c>
      <c r="D40" s="4" t="inlineStr"/>
      <c r="E40" s="4" t="inlineStr"/>
      <c r="F40" s="4" t="inlineStr">
        <is>
          <t>严重程度</t>
        </is>
      </c>
      <c r="G40" s="4" t="inlineStr">
        <is>
          <t>责任人</t>
        </is>
      </c>
      <c r="H40" s="4" t="inlineStr">
        <is>
          <t>提交日期</t>
        </is>
      </c>
      <c r="I40" s="4" t="inlineStr">
        <is>
          <t>计划关闭日期</t>
        </is>
      </c>
      <c r="J40" s="4" t="inlineStr">
        <is>
          <t>纠正措施</t>
        </is>
      </c>
      <c r="K40" s="4" t="inlineStr"/>
      <c r="L40" s="4" t="inlineStr">
        <is>
          <t>关闭</t>
        </is>
      </c>
    </row>
    <row r="41" ht="30" customHeight="1">
      <c r="A41" s="3" t="n">
        <v>3</v>
      </c>
      <c r="B41" s="3" t="inlineStr">
        <is>
          <t>9</t>
        </is>
      </c>
      <c r="C41" s="3" t="inlineStr">
        <is>
          <t>相关工作产品未完整覆盖本检查项要求的必要内容和适用场景，当前结果不能支撑该项要求已经全部落实。</t>
        </is>
      </c>
      <c r="D41" s="3" t="n"/>
      <c r="E41" s="3" t="n"/>
      <c r="F41" s="3" t="inlineStr">
        <is>
          <t>一般</t>
        </is>
      </c>
      <c r="G41" s="3" t="inlineStr">
        <is>
          <t>赵要浦</t>
        </is>
      </c>
      <c r="H41" s="3" t="inlineStr">
        <is>
          <t>2025-12-25</t>
        </is>
      </c>
      <c r="I41" s="3" t="inlineStr">
        <is>
          <t>2025-12-25</t>
        </is>
      </c>
      <c r="J41" s="3" t="inlineStr">
        <is>
          <t>补齐遗漏内容和适用场景，核对相关输入后组织复核，并保留复核结论。</t>
        </is>
      </c>
      <c r="K41" s="3" t="n"/>
      <c r="L41" s="3" t="inlineStr">
        <is>
          <t>否</t>
        </is>
      </c>
    </row>
    <row r="42" ht="30" customHeight="1">
      <c r="A42" s="3" t="n">
        <v>4</v>
      </c>
      <c r="B42" s="3" t="inlineStr">
        <is>
          <t>27</t>
        </is>
      </c>
      <c r="C42" s="3" t="inlineStr">
        <is>
          <t>相关工作产品未完整覆盖本检查项要求的必要内容和适用场景，当前结果不能支撑该项要求已经全部落实。</t>
        </is>
      </c>
      <c r="D42" s="3" t="n"/>
      <c r="E42" s="3" t="n"/>
      <c r="F42" s="3" t="inlineStr">
        <is>
          <t>一般</t>
        </is>
      </c>
      <c r="G42" s="3" t="inlineStr">
        <is>
          <t>赵要浦</t>
        </is>
      </c>
      <c r="H42" s="3" t="inlineStr">
        <is>
          <t>2025-12-25</t>
        </is>
      </c>
      <c r="I42" s="3" t="inlineStr">
        <is>
          <t>2025-12-25</t>
        </is>
      </c>
      <c r="J42" s="3" t="inlineStr">
        <is>
          <t>补齐遗漏内容和适用场景，核对相关输入后组织复核，并保留复核结论。</t>
        </is>
      </c>
      <c r="K42" s="3" t="n"/>
      <c r="L42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7">
    <mergeCell ref="B16:F16"/>
    <mergeCell ref="B25:F25"/>
    <mergeCell ref="K33:L33"/>
    <mergeCell ref="B18:F18"/>
    <mergeCell ref="B27:F27"/>
    <mergeCell ref="K26:L26"/>
    <mergeCell ref="K35:L35"/>
    <mergeCell ref="B11:F11"/>
    <mergeCell ref="J4:K4"/>
    <mergeCell ref="B34:F34"/>
    <mergeCell ref="B28:F28"/>
    <mergeCell ref="B37:F37"/>
    <mergeCell ref="B30:F30"/>
    <mergeCell ref="C42:E42"/>
    <mergeCell ref="B20:F20"/>
    <mergeCell ref="B15:F15"/>
    <mergeCell ref="K28:L28"/>
    <mergeCell ref="K37:L37"/>
    <mergeCell ref="K13:L13"/>
    <mergeCell ref="K30:L30"/>
    <mergeCell ref="K15:L15"/>
    <mergeCell ref="K21:L21"/>
    <mergeCell ref="K32:L32"/>
    <mergeCell ref="B8:F8"/>
    <mergeCell ref="B17:F17"/>
    <mergeCell ref="B10:F10"/>
    <mergeCell ref="B19:F19"/>
    <mergeCell ref="K27:L27"/>
    <mergeCell ref="B9:F9"/>
    <mergeCell ref="K17:L17"/>
    <mergeCell ref="H3:I3"/>
    <mergeCell ref="A24:L24"/>
    <mergeCell ref="J3:K3"/>
    <mergeCell ref="K10:L10"/>
    <mergeCell ref="K19:L19"/>
    <mergeCell ref="K16:L16"/>
    <mergeCell ref="F4:G4"/>
    <mergeCell ref="K25:L25"/>
    <mergeCell ref="K9:L9"/>
    <mergeCell ref="B31:F31"/>
    <mergeCell ref="B21:F21"/>
    <mergeCell ref="A2:L2"/>
    <mergeCell ref="K29:L29"/>
    <mergeCell ref="K11:L11"/>
    <mergeCell ref="B23:F23"/>
    <mergeCell ref="K31:L31"/>
    <mergeCell ref="A3:B3"/>
    <mergeCell ref="B13:F13"/>
    <mergeCell ref="K8:L8"/>
    <mergeCell ref="K23:L23"/>
    <mergeCell ref="A4:B4"/>
    <mergeCell ref="J42:K42"/>
    <mergeCell ref="C4:E4"/>
    <mergeCell ref="B36:F36"/>
    <mergeCell ref="K18:L18"/>
    <mergeCell ref="A7:L7"/>
    <mergeCell ref="K34:L34"/>
    <mergeCell ref="C41:E41"/>
    <mergeCell ref="H4:I4"/>
    <mergeCell ref="B22:F22"/>
    <mergeCell ref="K36:L36"/>
    <mergeCell ref="F3:G3"/>
    <mergeCell ref="B12:F12"/>
    <mergeCell ref="K20:L20"/>
    <mergeCell ref="B14:F14"/>
    <mergeCell ref="K22:L22"/>
    <mergeCell ref="B29:F29"/>
    <mergeCell ref="K12:L12"/>
    <mergeCell ref="J41:K41"/>
    <mergeCell ref="C3:E3"/>
    <mergeCell ref="K14:L14"/>
    <mergeCell ref="A39:L39"/>
    <mergeCell ref="B33:F33"/>
    <mergeCell ref="A1:L1"/>
    <mergeCell ref="B32:F32"/>
    <mergeCell ref="B26:F26"/>
    <mergeCell ref="B35:F3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编号：ZDPX-03046/0.0-QA-审核报告-002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系统分析与设计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审核需求开发与管理过程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2025-12-25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ZDPX-03046/0.0-QA-检查单-002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本次审核依据《需求开发与管理检查单》实施。经审核，发现2个不符合项。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'C002-审核需求开发与管理过程'!C41</f>
        <v/>
      </c>
      <c r="D13" s="3" t="n"/>
      <c r="E13" s="3" t="n"/>
      <c r="F13" s="3">
        <f>'C002-审核需求开发与管理过程'!F41</f>
        <v/>
      </c>
      <c r="G13" s="3">
        <f>'C002-审核需求开发与管理过程'!G41</f>
        <v/>
      </c>
      <c r="H13" s="3">
        <f>'C002-审核需求开发与管理过程'!H41</f>
        <v/>
      </c>
      <c r="I13" s="3">
        <f>'C002-审核需求开发与管理过程'!I41</f>
        <v/>
      </c>
      <c r="J13" s="3">
        <f>'C002-审核需求开发与管理过程'!J41</f>
        <v/>
      </c>
      <c r="K13" s="3" t="n"/>
    </row>
    <row r="14" ht="30" customHeight="1">
      <c r="B14" s="3" t="n">
        <v>2</v>
      </c>
      <c r="C14" s="3">
        <f>'C002-审核需求开发与管理过程'!C42</f>
        <v/>
      </c>
      <c r="D14" s="3" t="n"/>
      <c r="E14" s="3" t="n"/>
      <c r="F14" s="3">
        <f>'C002-审核需求开发与管理过程'!F42</f>
        <v/>
      </c>
      <c r="G14" s="3">
        <f>'C002-审核需求开发与管理过程'!G42</f>
        <v/>
      </c>
      <c r="H14" s="3">
        <f>'C002-审核需求开发与管理过程'!H42</f>
        <v/>
      </c>
      <c r="I14" s="3">
        <f>'C002-审核需求开发与管理过程'!I42</f>
        <v/>
      </c>
      <c r="J14" s="3">
        <f>'C002-审核需求开发与管理过程'!J42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验证与确认检查单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编号：ZDPX-03046/0.0-QA-检查单-003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系统分析与设计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审核验证与确认过程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有无按计划对本阶段工作产品实施验证与确认活动？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>
      <c r="A9" s="6" t="inlineStr">
        <is>
          <t>工作产品评审过程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18" customHeight="1">
      <c r="A10" s="3" t="inlineStr">
        <is>
          <t>1</t>
        </is>
      </c>
      <c r="B10" s="3" t="inlineStr">
        <is>
          <t>项目策划时有无制定评审计划，对评审形式、评审对象和评审时机进行明确？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2</t>
        </is>
      </c>
      <c r="B11" s="3" t="inlineStr">
        <is>
          <t>提交评审的文档是否经过项目QA的产品审核？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3</t>
        </is>
      </c>
      <c r="B12" s="3" t="inlineStr">
        <is>
          <t>评审前是否基于检查单模板准备了评审检查单？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4</t>
        </is>
      </c>
      <c r="B13" s="3" t="inlineStr">
        <is>
          <t>若评审检查单的检查项有修改时，是否经过EPG组的审批？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5</t>
        </is>
      </c>
      <c r="B14" s="3" t="inlineStr">
        <is>
          <t>参加评审的人员是否符合要求(依据相关过程文件规定)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6</t>
        </is>
      </c>
      <c r="B15" s="3" t="inlineStr">
        <is>
          <t>评审是否采取了正确的形式？（会议或审签）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7*</t>
        </is>
      </c>
      <c r="B16" s="3" t="inlineStr">
        <is>
          <t>是否记录了评审中发现的缺陷，并按要求形成了评审报告？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8</t>
        </is>
      </c>
      <c r="B17" s="3" t="inlineStr">
        <is>
          <t>对于评审中发现的缺陷，是否指定了负责修改人？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9</t>
        </is>
      </c>
      <c r="B18" s="3" t="inlineStr">
        <is>
          <t>是否指定了负责人对评审缺陷的处理情况进行跟踪和验证？是否有跟踪验证的记录？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10*</t>
        </is>
      </c>
      <c r="B19" s="3" t="inlineStr">
        <is>
          <t>评审缺陷是否归零？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>
      <c r="A20" s="6" t="inlineStr">
        <is>
          <t>测试过程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30" customHeight="1">
      <c r="A21" s="3" t="inlineStr">
        <is>
          <t>1</t>
        </is>
      </c>
      <c r="B21" s="3" t="inlineStr">
        <is>
          <t>对于测试活动，有无制定测试计划，对测试方法、所需资源、测试对象和范围、测试进度安排进行明确？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2</t>
        </is>
      </c>
      <c r="B22" s="3" t="inlineStr">
        <is>
          <t>测试计划有无经过评审？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30" customHeight="1">
      <c r="A23" s="3" t="inlineStr">
        <is>
          <t>3</t>
        </is>
      </c>
      <c r="B23" s="3" t="inlineStr">
        <is>
          <t>实施测试前，有无建立测试规程对测试环境、运行场景、输入输出、实施步骤、准入准则、通过准则等予以文档化说明？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4</t>
        </is>
      </c>
      <c r="B24" s="3" t="inlineStr">
        <is>
          <t>对测试环境有无开展与目标环境的差异性分析？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5*</t>
        </is>
      </c>
      <c r="B25" s="3" t="inlineStr">
        <is>
          <t>测试规程有无经过评审？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6*</t>
        </is>
      </c>
      <c r="B26" s="3" t="inlineStr">
        <is>
          <t>实施测试前有无进行测试就绪状态确认？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7*</t>
        </is>
      </c>
      <c r="B27" s="3" t="inlineStr">
        <is>
          <t>有无如实记录测试用例执行过程？对于有量值要求的指标，有无记录实测值？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8</t>
        </is>
      </c>
      <c r="B28" s="3" t="inlineStr">
        <is>
          <t>对于测试发现的缺陷有无进行标识、记录并形成问题报告单？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9</t>
        </is>
      </c>
      <c r="B29" s="3" t="inlineStr">
        <is>
          <t>对于测试缺陷，有无分析并确定原因，并制定纠正措施？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10</t>
        </is>
      </c>
      <c r="B30" s="3" t="inlineStr">
        <is>
          <t>对属于测试方法、准则及环境等因素的缺陷，有无修订测试规程并重新进行测试？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11</t>
        </is>
      </c>
      <c r="B31" s="3" t="inlineStr">
        <is>
          <t>对处理后的测试缺陷有无进行回归测试？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12*</t>
        </is>
      </c>
      <c r="B32" s="3" t="inlineStr">
        <is>
          <t>对测试结果有无进行分析总结形成测试报告，并和利益相关方进行沟通确认？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13*</t>
        </is>
      </c>
      <c r="B33" s="3" t="inlineStr">
        <is>
          <t>测试报告有无经过评审？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14*</t>
        </is>
      </c>
      <c r="B34" s="3" t="inlineStr">
        <is>
          <t>测试缺陷有无归零？如未归零，有无明确的放行标准？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6">
      <c r="A36" s="7" t="inlineStr">
        <is>
          <t>不符合项问题明细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A37" s="4" t="inlineStr">
        <is>
          <t>问题ID</t>
        </is>
      </c>
      <c r="B37" s="4" t="inlineStr">
        <is>
          <t>检查项</t>
        </is>
      </c>
      <c r="C37" s="4" t="inlineStr">
        <is>
          <t>问题描述</t>
        </is>
      </c>
      <c r="D37" s="4" t="inlineStr"/>
      <c r="E37" s="4" t="inlineStr"/>
      <c r="F37" s="4" t="inlineStr">
        <is>
          <t>严重程度</t>
        </is>
      </c>
      <c r="G37" s="4" t="inlineStr">
        <is>
          <t>责任人</t>
        </is>
      </c>
      <c r="H37" s="4" t="inlineStr">
        <is>
          <t>提交日期</t>
        </is>
      </c>
      <c r="I37" s="4" t="inlineStr">
        <is>
          <t>计划关闭日期</t>
        </is>
      </c>
      <c r="J37" s="4" t="inlineStr">
        <is>
          <t>纠正措施</t>
        </is>
      </c>
      <c r="K37" s="4" t="inlineStr"/>
      <c r="L37" s="4" t="inlineStr">
        <is>
          <t>关闭</t>
        </is>
      </c>
    </row>
    <row r="38">
      <c r="A38" s="3" t="inlineStr">
        <is>
          <t>本次审核未发现不符合项。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7">
    <mergeCell ref="K16:L16"/>
    <mergeCell ref="F4:G4"/>
    <mergeCell ref="K30:L30"/>
    <mergeCell ref="K25:L25"/>
    <mergeCell ref="A7:L7"/>
    <mergeCell ref="K34:L34"/>
    <mergeCell ref="B16:F16"/>
    <mergeCell ref="K24:L24"/>
    <mergeCell ref="B25:F25"/>
    <mergeCell ref="K15:L15"/>
    <mergeCell ref="K33:L33"/>
    <mergeCell ref="B31:F31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9:L29"/>
    <mergeCell ref="B11:F11"/>
    <mergeCell ref="K32:L32"/>
    <mergeCell ref="B23:F23"/>
    <mergeCell ref="K31:L31"/>
    <mergeCell ref="B8:F8"/>
    <mergeCell ref="B14:F14"/>
    <mergeCell ref="K22:L22"/>
    <mergeCell ref="A3:B3"/>
    <mergeCell ref="B17:F17"/>
    <mergeCell ref="B13:F13"/>
    <mergeCell ref="A20:L20"/>
    <mergeCell ref="A38:L38"/>
    <mergeCell ref="J4:K4"/>
    <mergeCell ref="B29:F29"/>
    <mergeCell ref="K12:L12"/>
    <mergeCell ref="K8:L8"/>
    <mergeCell ref="B34:F34"/>
    <mergeCell ref="B10:F10"/>
    <mergeCell ref="B28:F28"/>
    <mergeCell ref="B19:F19"/>
    <mergeCell ref="K27:L27"/>
    <mergeCell ref="C3:E3"/>
    <mergeCell ref="A9:L9"/>
    <mergeCell ref="K23:L23"/>
    <mergeCell ref="B26:F26"/>
    <mergeCell ref="K14:L14"/>
    <mergeCell ref="K17:L17"/>
    <mergeCell ref="H3:I3"/>
    <mergeCell ref="A4:B4"/>
    <mergeCell ref="B30:F30"/>
    <mergeCell ref="J3:K3"/>
    <mergeCell ref="B24:F24"/>
    <mergeCell ref="B15:F15"/>
    <mergeCell ref="B33:F33"/>
    <mergeCell ref="A1:L1"/>
    <mergeCell ref="K10:L10"/>
    <mergeCell ref="K28:L28"/>
    <mergeCell ref="A36:L36"/>
    <mergeCell ref="C4:E4"/>
    <mergeCell ref="K19:L19"/>
    <mergeCell ref="B32:F32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编号：ZDPX-03046/0.0-QA-审核报告-003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系统分析与设计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审核验证与确认过程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2025-12-25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ZDPX-03046/0.0-QA-检查单-003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本次审核依据《验证与确认检查单》实施。经审核，未发现不符合项。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配 置 管 理 检 查 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编号：ZDPX-03046/0.0-QA-检查单-004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系统分析与设计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审核配置管理过程-阶段末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是否为项目建立了受控库和开发库？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是否按计划对配置项进行了受控管理？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配置项的出入库单填写是否正确？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受控库中配置项和基线的标识是否遵循了标识规则？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5*</t>
        </is>
      </c>
      <c r="B12" s="3" t="inlineStr">
        <is>
          <t>受控库中基线的组成配置项是否与配置管理计划一致？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受控库中每个基线版本是否都对应基线发布单？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基线的建立和和变更情况是否通报给所有受影响的组和个人？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配置项出入库、基线发布是否都经过了正确的审批？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受控库是否按配置管理计划中的备份策略进行了备份？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开发库的使用与配置管理计划要求是否一致？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环境配置项有无受控管理？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提交变更申请时，是否具体描述了需变更的内容，并进行了影响域分析？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13*</t>
        </is>
      </c>
      <c r="B20" s="3" t="inlineStr">
        <is>
          <t>变更影响域分析是否识别出可能涉及到的相关配置项？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变更申请是否经过了正确的审批流程？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15*</t>
        </is>
      </c>
      <c r="B22" s="3" t="inlineStr">
        <is>
          <t>对变更后的内容有无采取验证措施？如评审、审批、测试等。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变更完成后，有无按要求填写变更报告单？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是否按规定进行了配置审核，并生成配置审核报告？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配置审核报告的内容是否完整？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是否按规定时机节点生成配置管理清单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配置管理清单的内容是否与受控库内容一致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是否按规定生成了阶段或里程碑配置管理报告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配置管理报告内容是否完整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1">
      <c r="A31" s="7" t="inlineStr">
        <is>
          <t>不符合项问题明细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4" t="inlineStr">
        <is>
          <t>问题ID</t>
        </is>
      </c>
      <c r="B32" s="4" t="inlineStr">
        <is>
          <t>检查项</t>
        </is>
      </c>
      <c r="C32" s="4" t="inlineStr">
        <is>
          <t>问题描述</t>
        </is>
      </c>
      <c r="D32" s="4" t="inlineStr"/>
      <c r="E32" s="4" t="inlineStr"/>
      <c r="F32" s="4" t="inlineStr">
        <is>
          <t>严重程度</t>
        </is>
      </c>
      <c r="G32" s="4" t="inlineStr">
        <is>
          <t>责任人</t>
        </is>
      </c>
      <c r="H32" s="4" t="inlineStr">
        <is>
          <t>提交日期</t>
        </is>
      </c>
      <c r="I32" s="4" t="inlineStr">
        <is>
          <t>计划关闭日期</t>
        </is>
      </c>
      <c r="J32" s="4" t="inlineStr">
        <is>
          <t>纠正措施</t>
        </is>
      </c>
      <c r="K32" s="4" t="inlineStr"/>
      <c r="L32" s="4" t="inlineStr">
        <is>
          <t>关闭</t>
        </is>
      </c>
    </row>
    <row r="33">
      <c r="A33" s="3" t="inlineStr">
        <is>
          <t>本次审核未发现不符合项。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9">
    <mergeCell ref="K16:L16"/>
    <mergeCell ref="F4:G4"/>
    <mergeCell ref="K25:L25"/>
    <mergeCell ref="A7:L7"/>
    <mergeCell ref="B16:F16"/>
    <mergeCell ref="K24:L24"/>
    <mergeCell ref="B25:F25"/>
    <mergeCell ref="K15:L15"/>
    <mergeCell ref="K9:L9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A33:L33"/>
    <mergeCell ref="B11:F11"/>
    <mergeCell ref="B23:F23"/>
    <mergeCell ref="B8:F8"/>
    <mergeCell ref="B14:F14"/>
    <mergeCell ref="K22:L22"/>
    <mergeCell ref="A3:B3"/>
    <mergeCell ref="B17:F17"/>
    <mergeCell ref="B13:F13"/>
    <mergeCell ref="J4:K4"/>
    <mergeCell ref="B29:F29"/>
    <mergeCell ref="K12:L12"/>
    <mergeCell ref="K8:L8"/>
    <mergeCell ref="B10:F10"/>
    <mergeCell ref="B28:F28"/>
    <mergeCell ref="B19:F19"/>
    <mergeCell ref="K27:L27"/>
    <mergeCell ref="A31:L31"/>
    <mergeCell ref="C3:E3"/>
    <mergeCell ref="K23:L23"/>
    <mergeCell ref="B26:F26"/>
    <mergeCell ref="K14:L14"/>
    <mergeCell ref="B9:F9"/>
    <mergeCell ref="K17:L17"/>
    <mergeCell ref="H3:I3"/>
    <mergeCell ref="A4:B4"/>
    <mergeCell ref="J3:K3"/>
    <mergeCell ref="B24:F24"/>
    <mergeCell ref="B20:F20"/>
    <mergeCell ref="B15:F15"/>
    <mergeCell ref="A1:L1"/>
    <mergeCell ref="K10:L10"/>
    <mergeCell ref="K28:L28"/>
    <mergeCell ref="C4:E4"/>
    <mergeCell ref="K19:L19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编号：ZDPX-03046/0.0-QA-审核报告-004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系统分析与设计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审核配置管理过程-阶段末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2025-12-26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ZDPX-03046/0.0-QA-检查单-004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本次审核依据《配 置 管 理 检 查 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流水号</t>
        </is>
      </c>
      <c r="B1" t="inlineStr">
        <is>
          <t>审核对象</t>
        </is>
      </c>
      <c r="C1" t="inlineStr">
        <is>
          <t>问题序号</t>
        </is>
      </c>
      <c r="D1" t="inlineStr">
        <is>
          <t>NC类型</t>
        </is>
      </c>
      <c r="E1" t="inlineStr">
        <is>
          <t>问题描述</t>
        </is>
      </c>
      <c r="F1" t="inlineStr">
        <is>
          <t>严重程度</t>
        </is>
      </c>
      <c r="G1" t="inlineStr">
        <is>
          <t>是否关闭</t>
        </is>
      </c>
      <c r="H1" t="inlineStr">
        <is>
          <t>归组日期</t>
        </is>
      </c>
      <c r="I1" t="inlineStr">
        <is>
          <t>节点类型</t>
        </is>
      </c>
      <c r="J1" t="inlineStr">
        <is>
          <t>审核日期</t>
        </is>
      </c>
    </row>
    <row r="2">
      <c r="A2" t="n">
        <v>1</v>
      </c>
      <c r="B2">
        <f>'R001-相控阵数字样机软件研制任务书'!F4</f>
        <v/>
      </c>
      <c r="C2">
        <f>'R001-相控阵数字样机软件研制任务书'!B13</f>
        <v/>
      </c>
      <c r="D2" t="inlineStr">
        <is>
          <t>工作产品</t>
        </is>
      </c>
      <c r="E2">
        <f>'R001-相控阵数字样机软件研制任务书'!C13</f>
        <v/>
      </c>
      <c r="F2">
        <f>'R001-相控阵数字样机软件研制任务书'!F13</f>
        <v/>
      </c>
      <c r="G2" t="inlineStr">
        <is>
          <t>否</t>
        </is>
      </c>
      <c r="H2" t="inlineStr">
        <is>
          <t>未匹配</t>
        </is>
      </c>
      <c r="I2" t="inlineStr">
        <is>
          <t>未匹配节点</t>
        </is>
      </c>
      <c r="J2" t="inlineStr">
        <is>
          <t>2025-12-24</t>
        </is>
      </c>
    </row>
    <row r="3">
      <c r="A3" t="n">
        <v>1</v>
      </c>
      <c r="B3">
        <f>'R001-相控阵数字样机软件研制任务书'!F4</f>
        <v/>
      </c>
      <c r="C3">
        <f>'R001-相控阵数字样机软件研制任务书'!B14</f>
        <v/>
      </c>
      <c r="D3" t="inlineStr">
        <is>
          <t>工作产品</t>
        </is>
      </c>
      <c r="E3">
        <f>'R001-相控阵数字样机软件研制任务书'!C14</f>
        <v/>
      </c>
      <c r="F3">
        <f>'R001-相控阵数字样机软件研制任务书'!F14</f>
        <v/>
      </c>
      <c r="G3" t="inlineStr">
        <is>
          <t>否</t>
        </is>
      </c>
      <c r="H3" t="inlineStr">
        <is>
          <t>未匹配</t>
        </is>
      </c>
      <c r="I3" t="inlineStr">
        <is>
          <t>未匹配节点</t>
        </is>
      </c>
      <c r="J3" t="inlineStr">
        <is>
          <t>2025-12-24</t>
        </is>
      </c>
    </row>
    <row r="4">
      <c r="A4" t="n">
        <v>2</v>
      </c>
      <c r="B4">
        <f>'R002-审核需求开发与管理过程'!F4</f>
        <v/>
      </c>
      <c r="C4">
        <f>'R002-审核需求开发与管理过程'!B13</f>
        <v/>
      </c>
      <c r="D4" t="inlineStr">
        <is>
          <t>RDM</t>
        </is>
      </c>
      <c r="E4">
        <f>'R002-审核需求开发与管理过程'!C13</f>
        <v/>
      </c>
      <c r="F4">
        <f>'R002-审核需求开发与管理过程'!F13</f>
        <v/>
      </c>
      <c r="G4" t="inlineStr">
        <is>
          <t>否</t>
        </is>
      </c>
      <c r="H4" t="inlineStr">
        <is>
          <t>未匹配</t>
        </is>
      </c>
      <c r="I4" t="inlineStr">
        <is>
          <t>未匹配节点</t>
        </is>
      </c>
      <c r="J4" t="inlineStr">
        <is>
          <t>2025-12-25</t>
        </is>
      </c>
    </row>
    <row r="5">
      <c r="A5" t="n">
        <v>2</v>
      </c>
      <c r="B5">
        <f>'R002-审核需求开发与管理过程'!F4</f>
        <v/>
      </c>
      <c r="C5">
        <f>'R002-审核需求开发与管理过程'!B14</f>
        <v/>
      </c>
      <c r="D5" t="inlineStr">
        <is>
          <t>RDM</t>
        </is>
      </c>
      <c r="E5">
        <f>'R002-审核需求开发与管理过程'!C14</f>
        <v/>
      </c>
      <c r="F5">
        <f>'R002-审核需求开发与管理过程'!F14</f>
        <v/>
      </c>
      <c r="G5" t="inlineStr">
        <is>
          <t>否</t>
        </is>
      </c>
      <c r="H5" t="inlineStr">
        <is>
          <t>未匹配</t>
        </is>
      </c>
      <c r="I5" t="inlineStr">
        <is>
          <t>未匹配节点</t>
        </is>
      </c>
      <c r="J5" t="inlineStr">
        <is>
          <t>2025-12-25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2026-08-21T13:54:31Z</dcterms:created>
  <dcterms:modified xmlns:dcterms="http://purl.org/dc/terms/" xmlns:xsi="http://www.w3.org/2001/XMLSchema-instance" xsi:type="dcterms:W3CDTF">2026-08-21T13:54:31Z</dcterms:modified>
</cp:coreProperties>
</file>