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阶段质量审核工作报告" sheetId="2" state="visible" r:id="rId2"/>
    <sheet xmlns:r="http://schemas.openxmlformats.org/officeDocument/2006/relationships" name="C048-审核项目策划" sheetId="3" state="visible" r:id="rId3"/>
    <sheet xmlns:r="http://schemas.openxmlformats.org/officeDocument/2006/relationships" name="R048-审核项目策划" sheetId="4" state="visible" r:id="rId4"/>
    <sheet xmlns:r="http://schemas.openxmlformats.org/officeDocument/2006/relationships" name="C049-审核验证与确认过程" sheetId="5" state="visible" r:id="rId5"/>
    <sheet xmlns:r="http://schemas.openxmlformats.org/officeDocument/2006/relationships" name="R049-审核验证与确认过程" sheetId="6" state="visible" r:id="rId6"/>
    <sheet xmlns:r="http://schemas.openxmlformats.org/officeDocument/2006/relationships" name="C050-审核配置管理过程-阶段" sheetId="7" state="visible" r:id="rId7"/>
    <sheet xmlns:r="http://schemas.openxmlformats.org/officeDocument/2006/relationships" name="R050-审核配置管理过程-阶段" sheetId="8" state="visible" r:id="rId8"/>
    <sheet xmlns:r="http://schemas.openxmlformats.org/officeDocument/2006/relationships" name="C051-审核项目监控过程-阶段" sheetId="9" state="visible" r:id="rId9"/>
    <sheet xmlns:r="http://schemas.openxmlformats.org/officeDocument/2006/relationships" name="R051-审核项目监控过程-阶段" sheetId="10" state="visible" r:id="rId10"/>
    <sheet xmlns:r="http://schemas.openxmlformats.org/officeDocument/2006/relationships" name="C052-审核测量与绩效管理-阶段" sheetId="11" state="visible" r:id="rId11"/>
    <sheet xmlns:r="http://schemas.openxmlformats.org/officeDocument/2006/relationships" name="R052-审核测量与绩效管理-阶段" sheetId="12" state="visible" r:id="rId12"/>
    <sheet xmlns:r="http://schemas.openxmlformats.org/officeDocument/2006/relationships" name="_计算" sheetId="13" state="hidden" r:id="rId13"/>
  </sheets>
  <definedNames>
    <definedName name="_xlnm._FilterDatabase" localSheetId="0" hidden="1">'审核目录'!$A$4:$D$9</definedName>
    <definedName name="_xlnm.Print_Area" localSheetId="0">'审核目录'!$A$1:$D$9</definedName>
    <definedName name="_xlnm.Print_Titles" localSheetId="1">'阶段质量审核工作报告'!$1:$7</definedName>
    <definedName name="_xlnm.Print_Area" localSheetId="1">'阶段质量审核工作报告'!$A$1:$L$22</definedName>
    <definedName name="_xlnm.Print_Titles" localSheetId="2">'C048-审核项目策划'!$1:$6</definedName>
    <definedName name="_xlnm.Print_Area" localSheetId="2">'C048-审核项目策划'!$A$1:$L$37</definedName>
    <definedName name="_xlnm.Print_Titles" localSheetId="3">'R048-审核项目策划'!$1:$12</definedName>
    <definedName name="_xlnm.Print_Area" localSheetId="3">'R048-审核项目策划'!$B$1:$K$17</definedName>
    <definedName name="_xlnm.Print_Titles" localSheetId="4">'C049-审核验证与确认过程'!$1:$6</definedName>
    <definedName name="_xlnm.Print_Area" localSheetId="4">'C049-审核验证与确认过程'!$A$1:$L$39</definedName>
    <definedName name="_xlnm.Print_Titles" localSheetId="5">'R049-审核验证与确认过程'!$1:$12</definedName>
    <definedName name="_xlnm.Print_Area" localSheetId="5">'R049-审核验证与确认过程'!$B$1:$K$18</definedName>
    <definedName name="_xlnm.Print_Titles" localSheetId="6">'C050-审核配置管理过程-阶段'!$1:$6</definedName>
    <definedName name="_xlnm.Print_Area" localSheetId="6">'C050-审核配置管理过程-阶段'!$A$1:$L$34</definedName>
    <definedName name="_xlnm.Print_Titles" localSheetId="7">'R050-审核配置管理过程-阶段'!$1:$12</definedName>
    <definedName name="_xlnm.Print_Area" localSheetId="7">'R050-审核配置管理过程-阶段'!$B$1:$K$18</definedName>
    <definedName name="_xlnm.Print_Titles" localSheetId="8">'C051-审核项目监控过程-阶段'!$1:$6</definedName>
    <definedName name="_xlnm.Print_Area" localSheetId="8">'C051-审核项目监控过程-阶段'!$A$1:$L$45</definedName>
    <definedName name="_xlnm.Print_Titles" localSheetId="9">'R051-审核项目监控过程-阶段'!$1:$12</definedName>
    <definedName name="_xlnm.Print_Area" localSheetId="9">'R051-审核项目监控过程-阶段'!$B$1:$K$17</definedName>
    <definedName name="_xlnm.Print_Titles" localSheetId="10">'C052-审核测量与绩效管理-阶段'!$1:$6</definedName>
    <definedName name="_xlnm.Print_Area" localSheetId="10">'C052-审核测量与绩效管理-阶段'!$A$1:$L$27</definedName>
    <definedName name="_xlnm.Print_Titles" localSheetId="11">'R052-审核测量与绩效管理-阶段'!$1:$12</definedName>
    <definedName name="_xlnm.Print_Area" localSheetId="11">'R052-审核测量与绩效管理-阶段'!$B$1:$K$18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宋体"/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5" fillId="0" borderId="1" applyAlignment="1" pivotButton="0" quotePrefix="0" xfId="1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48-&#23457;&#26680;&#39033;&#30446;&#31574;&#21010;'!A1" TargetMode="External" Id="rId1"/><Relationship Type="http://schemas.openxmlformats.org/officeDocument/2006/relationships/hyperlink" Target="#'R048-&#23457;&#26680;&#39033;&#30446;&#31574;&#21010;'!A1" TargetMode="External" Id="rId2"/><Relationship Type="http://schemas.openxmlformats.org/officeDocument/2006/relationships/hyperlink" Target="#'C049-&#23457;&#26680;&#39564;&#35777;&#19982;&#30830;&#35748;&#36807;&#31243;'!A1" TargetMode="External" Id="rId3"/><Relationship Type="http://schemas.openxmlformats.org/officeDocument/2006/relationships/hyperlink" Target="#'R049-&#23457;&#26680;&#39564;&#35777;&#19982;&#30830;&#35748;&#36807;&#31243;'!A1" TargetMode="External" Id="rId4"/><Relationship Type="http://schemas.openxmlformats.org/officeDocument/2006/relationships/hyperlink" Target="#'C050-&#23457;&#26680;&#37197;&#32622;&#31649;&#29702;&#36807;&#31243;-&#38454;&#27573;'!A1" TargetMode="External" Id="rId5"/><Relationship Type="http://schemas.openxmlformats.org/officeDocument/2006/relationships/hyperlink" Target="#'R050-&#23457;&#26680;&#37197;&#32622;&#31649;&#29702;&#36807;&#31243;-&#38454;&#27573;'!A1" TargetMode="External" Id="rId6"/><Relationship Type="http://schemas.openxmlformats.org/officeDocument/2006/relationships/hyperlink" Target="#'C051-&#23457;&#26680;&#39033;&#30446;&#30417;&#25511;&#36807;&#31243;-&#38454;&#27573;'!A1" TargetMode="External" Id="rId7"/><Relationship Type="http://schemas.openxmlformats.org/officeDocument/2006/relationships/hyperlink" Target="#'R051-&#23457;&#26680;&#39033;&#30446;&#30417;&#25511;&#36807;&#31243;-&#38454;&#27573;'!A1" TargetMode="External" Id="rId8"/><Relationship Type="http://schemas.openxmlformats.org/officeDocument/2006/relationships/hyperlink" Target="#'C052-&#23457;&#26680;&#27979;&#37327;&#19982;&#32489;&#25928;&#31649;&#29702;-&#38454;&#27573;'!A1" TargetMode="External" Id="rId9"/><Relationship Type="http://schemas.openxmlformats.org/officeDocument/2006/relationships/hyperlink" Target="#'R052-&#23457;&#26680;&#27979;&#37327;&#19982;&#32489;&#25928;&#31649;&#29702;-&#38454;&#27573;'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8" customWidth="1" min="4" max="4"/>
  </cols>
  <sheetData>
    <row r="1">
      <c r="A1" s="1" t="inlineStr">
        <is>
          <t>阶段质量审核记录目录</t>
        </is>
      </c>
      <c r="B1" s="2" t="n"/>
      <c r="C1" s="2" t="n"/>
      <c r="D1" s="2" t="n"/>
    </row>
    <row r="2">
      <c r="A2" s="3" t="inlineStr">
        <is>
          <t>项目：相控阵数字样机软件</t>
        </is>
      </c>
      <c r="B2" s="3" t="n"/>
      <c r="C2" s="3" t="inlineStr">
        <is>
          <t>阶段：验收与交付</t>
        </is>
      </c>
      <c r="D2" s="3" t="n"/>
    </row>
    <row r="4">
      <c r="A4" s="4" t="inlineStr">
        <is>
          <t>流水号</t>
        </is>
      </c>
      <c r="B4" s="4" t="inlineStr">
        <is>
          <t>审核对象</t>
        </is>
      </c>
      <c r="C4" s="4" t="inlineStr">
        <is>
          <t>检查单</t>
        </is>
      </c>
      <c r="D4" s="4" t="inlineStr">
        <is>
          <t>审核报告</t>
        </is>
      </c>
    </row>
    <row r="5" ht="18" customHeight="1">
      <c r="A5" s="3" t="n">
        <v>48</v>
      </c>
      <c r="B5" s="3" t="inlineStr">
        <is>
          <t>审核项目策划</t>
        </is>
      </c>
      <c r="C5" s="5" t="inlineStr">
        <is>
          <t>打开检查单</t>
        </is>
      </c>
      <c r="D5" s="5" t="inlineStr">
        <is>
          <t>打开审核报告</t>
        </is>
      </c>
    </row>
    <row r="6" ht="18" customHeight="1">
      <c r="A6" s="3" t="n">
        <v>49</v>
      </c>
      <c r="B6" s="3" t="inlineStr">
        <is>
          <t>审核验证与确认过程</t>
        </is>
      </c>
      <c r="C6" s="5" t="inlineStr">
        <is>
          <t>打开检查单</t>
        </is>
      </c>
      <c r="D6" s="5" t="inlineStr">
        <is>
          <t>打开审核报告</t>
        </is>
      </c>
    </row>
    <row r="7" ht="18" customHeight="1">
      <c r="A7" s="3" t="n">
        <v>50</v>
      </c>
      <c r="B7" s="3" t="inlineStr">
        <is>
          <t>审核配置管理过程-阶段</t>
        </is>
      </c>
      <c r="C7" s="5" t="inlineStr">
        <is>
          <t>打开检查单</t>
        </is>
      </c>
      <c r="D7" s="5" t="inlineStr">
        <is>
          <t>打开审核报告</t>
        </is>
      </c>
    </row>
    <row r="8" ht="18" customHeight="1">
      <c r="A8" s="3" t="n">
        <v>51</v>
      </c>
      <c r="B8" s="3" t="inlineStr">
        <is>
          <t>审核项目监控过程-阶段</t>
        </is>
      </c>
      <c r="C8" s="5" t="inlineStr">
        <is>
          <t>打开检查单</t>
        </is>
      </c>
      <c r="D8" s="5" t="inlineStr">
        <is>
          <t>打开审核报告</t>
        </is>
      </c>
    </row>
    <row r="9" ht="18" customHeight="1">
      <c r="A9" s="3" t="n">
        <v>52</v>
      </c>
      <c r="B9" s="3" t="inlineStr">
        <is>
          <t>审核测量与绩效管理-阶段</t>
        </is>
      </c>
      <c r="C9" s="5" t="inlineStr">
        <is>
          <t>打开检查单</t>
        </is>
      </c>
      <c r="D9" s="5" t="inlineStr">
        <is>
          <t>打开审核报告</t>
        </is>
      </c>
    </row>
  </sheetData>
  <autoFilter ref="A4:D9"/>
  <mergeCells count="3">
    <mergeCell ref="A1:D1"/>
    <mergeCell ref="A2:B2"/>
    <mergeCell ref="C2:D2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C6" r:id="rId3"/>
    <hyperlink xmlns:r="http://schemas.openxmlformats.org/officeDocument/2006/relationships" ref="D6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C8" r:id="rId7"/>
    <hyperlink xmlns:r="http://schemas.openxmlformats.org/officeDocument/2006/relationships" ref="D8" r:id="rId8"/>
    <hyperlink xmlns:r="http://schemas.openxmlformats.org/officeDocument/2006/relationships" ref="C9" r:id="rId9"/>
    <hyperlink xmlns:r="http://schemas.openxmlformats.org/officeDocument/2006/relationships" ref="D9" r:id="rId10"/>
  </hyperlink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质量审核工作报告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编号：ZDPX-03046/0.0-QA-质量报告-006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3" t="n"/>
      <c r="G3" s="4" t="inlineStr">
        <is>
          <t>报告阶段</t>
        </is>
      </c>
      <c r="H3" s="4" t="n"/>
      <c r="I3" s="3" t="inlineStr">
        <is>
          <t>验收与交付</t>
        </is>
      </c>
      <c r="J3" s="3" t="n"/>
      <c r="K3" s="3" t="n"/>
      <c r="L3" s="3" t="n"/>
    </row>
    <row r="4">
      <c r="A4" s="4" t="inlineStr">
        <is>
          <t>报告起止日期</t>
        </is>
      </c>
      <c r="B4" s="4" t="n"/>
      <c r="C4" s="3" t="inlineStr">
        <is>
          <t>2026-03-31 至 2026-04-20</t>
        </is>
      </c>
      <c r="D4" s="3" t="n"/>
      <c r="E4" s="3" t="n"/>
      <c r="F4" s="3" t="n"/>
      <c r="G4" s="4" t="inlineStr">
        <is>
          <t>项目QA</t>
        </is>
      </c>
      <c r="H4" s="4" t="n"/>
      <c r="I4" s="3" t="inlineStr">
        <is>
          <t>高蕾</t>
        </is>
      </c>
      <c r="J4" s="3" t="n"/>
      <c r="K4" s="3" t="n"/>
      <c r="L4" s="3" t="n"/>
    </row>
    <row r="6">
      <c r="A6" s="4" t="inlineStr">
        <is>
          <t>审核情况汇总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inlineStr">
        <is>
          <t>流水号</t>
        </is>
      </c>
      <c r="B7" s="4" t="inlineStr">
        <is>
          <t>审核对象</t>
        </is>
      </c>
      <c r="C7" s="4" t="inlineStr">
        <is>
          <t>审核日期</t>
        </is>
      </c>
      <c r="D7" s="4" t="inlineStr">
        <is>
          <t>节点</t>
        </is>
      </c>
      <c r="E7" s="4" t="inlineStr">
        <is>
          <t>NC类型</t>
        </is>
      </c>
      <c r="F7" s="4" t="inlineStr">
        <is>
          <t>问题描述</t>
        </is>
      </c>
      <c r="G7" s="4" t="inlineStr"/>
      <c r="H7" s="4" t="inlineStr"/>
      <c r="I7" s="4" t="inlineStr"/>
      <c r="J7" s="4" t="inlineStr">
        <is>
          <t>严重程度</t>
        </is>
      </c>
      <c r="K7" s="4" t="inlineStr">
        <is>
          <t>是否关闭</t>
        </is>
      </c>
      <c r="L7" s="4" t="inlineStr">
        <is>
          <t>审核状态</t>
        </is>
      </c>
    </row>
    <row r="8">
      <c r="A8" s="6" t="inlineStr">
        <is>
          <t>阶段汇总：2026-04-20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18" customHeight="1">
      <c r="A9" s="3" t="n">
        <v>48</v>
      </c>
      <c r="B9" s="3" t="inlineStr">
        <is>
          <t>审核项目策划</t>
        </is>
      </c>
      <c r="C9" s="3" t="inlineStr">
        <is>
          <t>2026-04-01</t>
        </is>
      </c>
      <c r="D9" s="3" t="inlineStr">
        <is>
          <t>阶段</t>
        </is>
      </c>
      <c r="E9" s="3" t="n"/>
      <c r="F9" s="3" t="inlineStr">
        <is>
          <t>未发现不符合项</t>
        </is>
      </c>
      <c r="G9" s="3" t="n"/>
      <c r="H9" s="3" t="n"/>
      <c r="I9" s="3" t="n"/>
      <c r="J9" s="3" t="n"/>
      <c r="K9" s="3" t="n"/>
      <c r="L9" s="3" t="inlineStr">
        <is>
          <t>未确认</t>
        </is>
      </c>
    </row>
    <row r="10" ht="30" customHeight="1">
      <c r="A10" s="3" t="n">
        <v>49</v>
      </c>
      <c r="B10" s="3">
        <f>'_计算'!B2</f>
        <v/>
      </c>
      <c r="C10" s="3" t="inlineStr">
        <is>
          <t>2026-04-20</t>
        </is>
      </c>
      <c r="D10" s="3" t="inlineStr">
        <is>
          <t>阶段</t>
        </is>
      </c>
      <c r="E10" s="3">
        <f>'_计算'!D2</f>
        <v/>
      </c>
      <c r="F10" s="3">
        <f>'_计算'!E2</f>
        <v/>
      </c>
      <c r="G10" s="3" t="n"/>
      <c r="H10" s="3" t="n"/>
      <c r="I10" s="3" t="n"/>
      <c r="J10" s="3">
        <f>'_计算'!F2</f>
        <v/>
      </c>
      <c r="K10" s="3">
        <f>'_计算'!G2</f>
        <v/>
      </c>
      <c r="L10" s="3" t="inlineStr">
        <is>
          <t>未确认</t>
        </is>
      </c>
    </row>
    <row r="11" ht="30" customHeight="1">
      <c r="A11" s="3" t="n">
        <v>49</v>
      </c>
      <c r="B11" s="3">
        <f>'_计算'!B3</f>
        <v/>
      </c>
      <c r="C11" s="3" t="inlineStr">
        <is>
          <t>2026-04-20</t>
        </is>
      </c>
      <c r="D11" s="3" t="inlineStr">
        <is>
          <t>阶段</t>
        </is>
      </c>
      <c r="E11" s="3">
        <f>'_计算'!D3</f>
        <v/>
      </c>
      <c r="F11" s="3">
        <f>'_计算'!E3</f>
        <v/>
      </c>
      <c r="G11" s="3" t="n"/>
      <c r="H11" s="3" t="n"/>
      <c r="I11" s="3" t="n"/>
      <c r="J11" s="3">
        <f>'_计算'!F3</f>
        <v/>
      </c>
      <c r="K11" s="3">
        <f>'_计算'!G3</f>
        <v/>
      </c>
      <c r="L11" s="3" t="inlineStr">
        <is>
          <t>未确认</t>
        </is>
      </c>
    </row>
    <row r="12" ht="30" customHeight="1">
      <c r="A12" s="3" t="n">
        <v>50</v>
      </c>
      <c r="B12" s="3">
        <f>'_计算'!B4</f>
        <v/>
      </c>
      <c r="C12" s="3" t="inlineStr">
        <is>
          <t>2026-04-20</t>
        </is>
      </c>
      <c r="D12" s="3" t="inlineStr">
        <is>
          <t>阶段</t>
        </is>
      </c>
      <c r="E12" s="3">
        <f>'_计算'!D4</f>
        <v/>
      </c>
      <c r="F12" s="3">
        <f>'_计算'!E4</f>
        <v/>
      </c>
      <c r="G12" s="3" t="n"/>
      <c r="H12" s="3" t="n"/>
      <c r="I12" s="3" t="n"/>
      <c r="J12" s="3">
        <f>'_计算'!F4</f>
        <v/>
      </c>
      <c r="K12" s="3">
        <f>'_计算'!G4</f>
        <v/>
      </c>
      <c r="L12" s="3" t="inlineStr">
        <is>
          <t>未确认</t>
        </is>
      </c>
    </row>
    <row r="13" ht="30" customHeight="1">
      <c r="A13" s="3" t="n">
        <v>50</v>
      </c>
      <c r="B13" s="3">
        <f>'_计算'!B5</f>
        <v/>
      </c>
      <c r="C13" s="3" t="inlineStr">
        <is>
          <t>2026-04-20</t>
        </is>
      </c>
      <c r="D13" s="3" t="inlineStr">
        <is>
          <t>阶段</t>
        </is>
      </c>
      <c r="E13" s="3">
        <f>'_计算'!D5</f>
        <v/>
      </c>
      <c r="F13" s="3">
        <f>'_计算'!E5</f>
        <v/>
      </c>
      <c r="G13" s="3" t="n"/>
      <c r="H13" s="3" t="n"/>
      <c r="I13" s="3" t="n"/>
      <c r="J13" s="3">
        <f>'_计算'!F5</f>
        <v/>
      </c>
      <c r="K13" s="3">
        <f>'_计算'!G5</f>
        <v/>
      </c>
      <c r="L13" s="3" t="inlineStr">
        <is>
          <t>未确认</t>
        </is>
      </c>
    </row>
    <row r="14" ht="30" customHeight="1">
      <c r="A14" s="3" t="n">
        <v>51</v>
      </c>
      <c r="B14" s="3">
        <f>'_计算'!B6</f>
        <v/>
      </c>
      <c r="C14" s="3" t="inlineStr">
        <is>
          <t>2026-04-20</t>
        </is>
      </c>
      <c r="D14" s="3" t="inlineStr">
        <is>
          <t>阶段</t>
        </is>
      </c>
      <c r="E14" s="3">
        <f>'_计算'!D6</f>
        <v/>
      </c>
      <c r="F14" s="3">
        <f>'_计算'!E6</f>
        <v/>
      </c>
      <c r="G14" s="3" t="n"/>
      <c r="H14" s="3" t="n"/>
      <c r="I14" s="3" t="n"/>
      <c r="J14" s="3">
        <f>'_计算'!F6</f>
        <v/>
      </c>
      <c r="K14" s="3">
        <f>'_计算'!G6</f>
        <v/>
      </c>
      <c r="L14" s="3" t="inlineStr">
        <is>
          <t>未确认</t>
        </is>
      </c>
    </row>
    <row r="15" ht="30" customHeight="1">
      <c r="A15" s="3" t="n">
        <v>52</v>
      </c>
      <c r="B15" s="3">
        <f>'_计算'!B7</f>
        <v/>
      </c>
      <c r="C15" s="3" t="inlineStr">
        <is>
          <t>2026-04-20</t>
        </is>
      </c>
      <c r="D15" s="3" t="inlineStr">
        <is>
          <t>阶段</t>
        </is>
      </c>
      <c r="E15" s="3">
        <f>'_计算'!D7</f>
        <v/>
      </c>
      <c r="F15" s="3">
        <f>'_计算'!E7</f>
        <v/>
      </c>
      <c r="G15" s="3" t="n"/>
      <c r="H15" s="3" t="n"/>
      <c r="I15" s="3" t="n"/>
      <c r="J15" s="3">
        <f>'_计算'!F7</f>
        <v/>
      </c>
      <c r="K15" s="3">
        <f>'_计算'!G7</f>
        <v/>
      </c>
      <c r="L15" s="3" t="inlineStr">
        <is>
          <t>未确认</t>
        </is>
      </c>
    </row>
    <row r="16" ht="30" customHeight="1">
      <c r="A16" s="3" t="n">
        <v>52</v>
      </c>
      <c r="B16" s="3">
        <f>'_计算'!B8</f>
        <v/>
      </c>
      <c r="C16" s="3" t="inlineStr">
        <is>
          <t>2026-04-20</t>
        </is>
      </c>
      <c r="D16" s="3" t="inlineStr">
        <is>
          <t>阶段</t>
        </is>
      </c>
      <c r="E16" s="3">
        <f>'_计算'!D8</f>
        <v/>
      </c>
      <c r="F16" s="3">
        <f>'_计算'!E8</f>
        <v/>
      </c>
      <c r="G16" s="3" t="n"/>
      <c r="H16" s="3" t="n"/>
      <c r="I16" s="3" t="n"/>
      <c r="J16" s="3">
        <f>'_计算'!F8</f>
        <v/>
      </c>
      <c r="K16" s="3">
        <f>'_计算'!G8</f>
        <v/>
      </c>
      <c r="L16" s="3" t="inlineStr">
        <is>
          <t>未确认</t>
        </is>
      </c>
    </row>
    <row r="17">
      <c r="A17" s="7" t="inlineStr">
        <is>
          <t>节点统计</t>
        </is>
      </c>
      <c r="B17" s="7" t="n"/>
      <c r="C17" s="7" t="n"/>
      <c r="D17" s="7" t="n"/>
      <c r="E17" s="7" t="inlineStr">
        <is>
          <t>NC总数</t>
        </is>
      </c>
      <c r="F17" s="7">
        <f>COUNTIF(J9:J16,"?*")</f>
        <v/>
      </c>
      <c r="G17" s="7" t="inlineStr">
        <is>
          <t>未关闭</t>
        </is>
      </c>
      <c r="H17" s="7">
        <f>COUNTIF(K9:K16,"否")</f>
        <v/>
      </c>
      <c r="I17" s="7" t="inlineStr">
        <is>
          <t>严重</t>
        </is>
      </c>
      <c r="J17" s="7">
        <f>COUNTIF(J9:J16,"严重")</f>
        <v/>
      </c>
      <c r="K17" s="7" t="n"/>
      <c r="L17" s="7" t="n"/>
    </row>
    <row r="19">
      <c r="A19" s="8" t="inlineStr">
        <is>
          <t>阶段汇总统计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7" t="inlineStr">
        <is>
          <t>产品NC总数</t>
        </is>
      </c>
      <c r="B20" s="7">
        <f>COUNTIF('_计算'!D2:D8,"工作产品")</f>
        <v/>
      </c>
      <c r="C20" s="7" t="inlineStr">
        <is>
          <t>过程NC总数</t>
        </is>
      </c>
      <c r="D20" s="7">
        <f>COUNTIFS('_计算'!D2:D8,"&lt;&gt;工作产品",'_计算'!D2:D8,"&lt;&gt;")</f>
        <v/>
      </c>
      <c r="E20" s="7" t="inlineStr">
        <is>
          <t>未关闭NC数</t>
        </is>
      </c>
      <c r="F20" s="7">
        <f>COUNTIF('_计算'!G2:G8,"否")</f>
        <v/>
      </c>
      <c r="G20" s="7" t="inlineStr">
        <is>
          <t>轻微</t>
        </is>
      </c>
      <c r="H20" s="7">
        <f>COUNTIF('_计算'!F2:F8,"轻微")</f>
        <v/>
      </c>
      <c r="I20" s="7" t="inlineStr">
        <is>
          <t>一般</t>
        </is>
      </c>
      <c r="J20" s="7">
        <f>COUNTIF('_计算'!F2:F8,"一般")</f>
        <v/>
      </c>
      <c r="K20" s="7" t="inlineStr">
        <is>
          <t>严重</t>
        </is>
      </c>
      <c r="L20" s="7">
        <f>COUNTIF('_计算'!F2:F8,"严重")</f>
        <v/>
      </c>
    </row>
    <row r="21">
      <c r="A21" s="4" t="inlineStr">
        <is>
          <t>RDM</t>
        </is>
      </c>
      <c r="B21" s="4" t="inlineStr">
        <is>
          <t>PP</t>
        </is>
      </c>
      <c r="C21" s="4" t="inlineStr">
        <is>
          <t>PMC</t>
        </is>
      </c>
      <c r="D21" s="4" t="inlineStr">
        <is>
          <t>CM</t>
        </is>
      </c>
      <c r="E21" s="4" t="inlineStr">
        <is>
          <t>MT</t>
        </is>
      </c>
      <c r="F21" s="4" t="inlineStr">
        <is>
          <t>MPM</t>
        </is>
      </c>
      <c r="G21" s="4" t="inlineStr">
        <is>
          <t>VV</t>
        </is>
      </c>
      <c r="H21" s="4" t="inlineStr">
        <is>
          <t>LD</t>
        </is>
      </c>
      <c r="I21" s="4" t="inlineStr">
        <is>
          <t>II</t>
        </is>
      </c>
      <c r="J21" s="4" t="inlineStr">
        <is>
          <t>工作产品</t>
        </is>
      </c>
      <c r="K21" s="4" t="inlineStr">
        <is>
          <t>总计</t>
        </is>
      </c>
    </row>
    <row r="22">
      <c r="A22" s="4">
        <f>COUNTIF('_计算'!D2:D8,"RDM")</f>
        <v/>
      </c>
      <c r="B22" s="4">
        <f>COUNTIF('_计算'!D2:D8,"PP")</f>
        <v/>
      </c>
      <c r="C22" s="4">
        <f>COUNTIF('_计算'!D2:D8,"PMC")</f>
        <v/>
      </c>
      <c r="D22" s="4">
        <f>COUNTIF('_计算'!D2:D8,"CM")</f>
        <v/>
      </c>
      <c r="E22" s="4">
        <f>COUNTIF('_计算'!D2:D8,"MT")</f>
        <v/>
      </c>
      <c r="F22" s="4">
        <f>COUNTIF('_计算'!D2:D8,"MPM")</f>
        <v/>
      </c>
      <c r="G22" s="4">
        <f>COUNTIF('_计算'!D2:D8,"VV")</f>
        <v/>
      </c>
      <c r="H22" s="4">
        <f>COUNTIF('_计算'!D2:D8,"LD")</f>
        <v/>
      </c>
      <c r="I22" s="4">
        <f>COUNTIF('_计算'!D2:D8,"II")</f>
        <v/>
      </c>
      <c r="J22" s="4">
        <f>COUNTIF('_计算'!D2:D8,"工作产品")</f>
        <v/>
      </c>
      <c r="K22" s="4">
        <f>SUM(A22:J22)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F13:I13"/>
    <mergeCell ref="A17:D17"/>
    <mergeCell ref="F9:I9"/>
    <mergeCell ref="I4:L4"/>
    <mergeCell ref="F14:I14"/>
    <mergeCell ref="A2:L2"/>
    <mergeCell ref="C3:F3"/>
    <mergeCell ref="F11:I11"/>
    <mergeCell ref="A8:L8"/>
    <mergeCell ref="F16:I16"/>
    <mergeCell ref="F10:I10"/>
    <mergeCell ref="A3:B3"/>
    <mergeCell ref="G3:H3"/>
    <mergeCell ref="A19:L19"/>
    <mergeCell ref="C4:F4"/>
    <mergeCell ref="F12:I12"/>
    <mergeCell ref="F15:I15"/>
    <mergeCell ref="A4:B4"/>
    <mergeCell ref="G4:H4"/>
    <mergeCell ref="I3:L3"/>
    <mergeCell ref="A1:L1"/>
    <mergeCell ref="A6:L6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项目策划检查单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编号：ZDPX-03046/0.0-QA-检查单-048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审核项目策划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是否对软件产品进行了标识并记录？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是否为软件项目选择了生存周期模型，并说明了理由？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3*</t>
        </is>
      </c>
      <c r="B10" s="3" t="inlineStr">
        <is>
          <t>是否对标准过程进行了裁剪，确定了软件项目的过程？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是否生成工作分解结构并记录？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是否进行了软件工作产品规模估计？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是否进行了工作量/成本估计？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所采用的估计方法是否按正确步骤实施？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估算结果是否形成了估算报告？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是否记录了估计的假设数据及假设的依据？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是否明确并记录了关键路径、任务参与方、利益相关方、资源需求等进度安排依据？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11*</t>
        </is>
      </c>
      <c r="B18" s="3" t="inlineStr">
        <is>
          <t>是否依据估算结果进行了进度安排？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是否定义了软件项目的里程碑？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是否明确了软件开发各阶段的活动内容？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是否进行了风险识别，确定其优先级及防范措施并写入风险列表？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是否描述了对关键需求的处理策划？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是否对项目监控活动进行了策划？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是否标识了项目过程资产，并制定了资产管理计划？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是否标识了任务所需资源（劳动力、设施和方法等），并制定了项目资源计划？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是否分析了项目人员能力要求，并制定了项目培训计划？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是否标识了利益相关方，并制定了利益方参与计划？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21*</t>
        </is>
      </c>
      <c r="B28" s="3" t="inlineStr">
        <is>
          <t>软件开发计划是否进行了评审？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22*</t>
        </is>
      </c>
      <c r="B29" s="3" t="inlineStr">
        <is>
          <t>软件开发计划是否通过了审批？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</t>
        </is>
      </c>
      <c r="B30" s="3" t="inlineStr">
        <is>
          <t>审批后的软件开发计划是否进行了发布？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24*</t>
        </is>
      </c>
      <c r="B31" s="3" t="inlineStr">
        <is>
          <t>每个阶段是否进行了详细策划？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</t>
        </is>
      </c>
      <c r="B32" s="3" t="inlineStr">
        <is>
          <t>详细策划有无留存相关记录？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26</t>
        </is>
      </c>
      <c r="B33" s="3" t="inlineStr">
        <is>
          <t>阶段详细策划的结果是否通知到相关项目组成员，以获得对阶段详细计划的承诺？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5">
      <c r="A35" s="7" t="inlineStr">
        <is>
          <t>不符合项问题明细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4" t="inlineStr">
        <is>
          <t>问题ID</t>
        </is>
      </c>
      <c r="B36" s="4" t="inlineStr">
        <is>
          <t>检查项</t>
        </is>
      </c>
      <c r="C36" s="4" t="inlineStr">
        <is>
          <t>问题描述</t>
        </is>
      </c>
      <c r="D36" s="4" t="inlineStr"/>
      <c r="E36" s="4" t="inlineStr"/>
      <c r="F36" s="4" t="inlineStr">
        <is>
          <t>严重程度</t>
        </is>
      </c>
      <c r="G36" s="4" t="inlineStr">
        <is>
          <t>责任人</t>
        </is>
      </c>
      <c r="H36" s="4" t="inlineStr">
        <is>
          <t>提交日期</t>
        </is>
      </c>
      <c r="I36" s="4" t="inlineStr">
        <is>
          <t>计划关闭日期</t>
        </is>
      </c>
      <c r="J36" s="4" t="inlineStr">
        <is>
          <t>纠正措施</t>
        </is>
      </c>
      <c r="K36" s="4" t="inlineStr"/>
      <c r="L36" s="4" t="inlineStr">
        <is>
          <t>关闭</t>
        </is>
      </c>
    </row>
    <row r="37">
      <c r="A37" s="3" t="inlineStr">
        <is>
          <t>本次审核未发现不符合项。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7">
    <mergeCell ref="K16:L16"/>
    <mergeCell ref="F4:G4"/>
    <mergeCell ref="K30:L30"/>
    <mergeCell ref="K25:L25"/>
    <mergeCell ref="A7:L7"/>
    <mergeCell ref="B16:F16"/>
    <mergeCell ref="K24:L24"/>
    <mergeCell ref="B25:F25"/>
    <mergeCell ref="K15:L15"/>
    <mergeCell ref="K33:L33"/>
    <mergeCell ref="A37:L37"/>
    <mergeCell ref="K9:L9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A35:L35"/>
    <mergeCell ref="J4:K4"/>
    <mergeCell ref="B29:F29"/>
    <mergeCell ref="K12:L12"/>
    <mergeCell ref="K8:L8"/>
    <mergeCell ref="B10:F10"/>
    <mergeCell ref="B28:F28"/>
    <mergeCell ref="B19:F19"/>
    <mergeCell ref="K27:L27"/>
    <mergeCell ref="C3:E3"/>
    <mergeCell ref="K23:L23"/>
    <mergeCell ref="B26:F26"/>
    <mergeCell ref="K14:L14"/>
    <mergeCell ref="B9:F9"/>
    <mergeCell ref="K17:L17"/>
    <mergeCell ref="H3:I3"/>
    <mergeCell ref="A4:B4"/>
    <mergeCell ref="B30:F30"/>
    <mergeCell ref="J3:K3"/>
    <mergeCell ref="B24:F24"/>
    <mergeCell ref="B20:F20"/>
    <mergeCell ref="B15:F15"/>
    <mergeCell ref="B33:F33"/>
    <mergeCell ref="A1:L1"/>
    <mergeCell ref="K10:L10"/>
    <mergeCell ref="K28:L28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编号：ZDPX-03046/0.0-QA-审核报告-048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审核项目策划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2026-04-01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ZDPX-03046/0.0-QA-检查单-048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本次审核依据《项目策划检查单》实施。经审核，未发现不符合项。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验证与确认检查单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编号：ZDPX-03046/0.0-QA-检查单-049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审核验证与确认过程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有无按计划对本阶段工作产品实施验证与确认活动？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>
      <c r="A9" s="6" t="inlineStr">
        <is>
          <t>工作产品评审过程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18" customHeight="1">
      <c r="A10" s="3" t="inlineStr">
        <is>
          <t>1</t>
        </is>
      </c>
      <c r="B10" s="3" t="inlineStr">
        <is>
          <t>项目策划时有无制定评审计划，对评审形式、评审对象和评审时机进行明确？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2</t>
        </is>
      </c>
      <c r="B11" s="3" t="inlineStr">
        <is>
          <t>提交评审的文档是否经过项目QA的产品审核？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3</t>
        </is>
      </c>
      <c r="B12" s="3" t="inlineStr">
        <is>
          <t>评审前是否基于检查单模板准备了评审检查单？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4</t>
        </is>
      </c>
      <c r="B13" s="3" t="inlineStr">
        <is>
          <t>若评审检查单的检查项有修改时，是否经过EPG组的审批？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5</t>
        </is>
      </c>
      <c r="B14" s="3" t="inlineStr">
        <is>
          <t>参加评审的人员是否符合要求(依据相关过程文件规定)</t>
        </is>
      </c>
      <c r="C14" s="3" t="n"/>
      <c r="D14" s="3" t="n"/>
      <c r="E14" s="3" t="n"/>
      <c r="F14" s="3" t="n"/>
      <c r="G14" s="3" t="n"/>
      <c r="H14" s="3" t="inlineStr">
        <is>
          <t>✓</t>
        </is>
      </c>
      <c r="I14" s="3" t="n"/>
      <c r="J14" s="3" t="inlineStr">
        <is>
          <t>一般</t>
        </is>
      </c>
      <c r="K14" s="3" t="inlineStr">
        <is>
          <t>必要内容覆盖不完整</t>
        </is>
      </c>
      <c r="L14" s="3" t="n"/>
    </row>
    <row r="15" ht="18" customHeight="1">
      <c r="A15" s="3" t="inlineStr">
        <is>
          <t>6</t>
        </is>
      </c>
      <c r="B15" s="3" t="inlineStr">
        <is>
          <t>评审是否采取了正确的形式？（会议或审签）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7*</t>
        </is>
      </c>
      <c r="B16" s="3" t="inlineStr">
        <is>
          <t>是否记录了评审中发现的缺陷，并按要求形成了评审报告？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8</t>
        </is>
      </c>
      <c r="B17" s="3" t="inlineStr">
        <is>
          <t>对于评审中发现的缺陷，是否指定了负责修改人？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9</t>
        </is>
      </c>
      <c r="B18" s="3" t="inlineStr">
        <is>
          <t>是否指定了负责人对评审缺陷的处理情况进行跟踪和验证？是否有跟踪验证的记录？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10*</t>
        </is>
      </c>
      <c r="B19" s="3" t="inlineStr">
        <is>
          <t>评审缺陷是否归零？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>
      <c r="A20" s="6" t="inlineStr">
        <is>
          <t>测试过程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30" customHeight="1">
      <c r="A21" s="3" t="inlineStr">
        <is>
          <t>1</t>
        </is>
      </c>
      <c r="B21" s="3" t="inlineStr">
        <is>
          <t>对于测试活动，有无制定测试计划，对测试方法、所需资源、测试对象和范围、测试进度安排进行明确？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2</t>
        </is>
      </c>
      <c r="B22" s="3" t="inlineStr">
        <is>
          <t>测试计划有无经过评审？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30" customHeight="1">
      <c r="A23" s="3" t="inlineStr">
        <is>
          <t>3</t>
        </is>
      </c>
      <c r="B23" s="3" t="inlineStr">
        <is>
          <t>实施测试前，有无建立测试规程对测试环境、运行场景、输入输出、实施步骤、准入准则、通过准则等予以文档化说明？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4</t>
        </is>
      </c>
      <c r="B24" s="3" t="inlineStr">
        <is>
          <t>对测试环境有无开展与目标环境的差异性分析？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5*</t>
        </is>
      </c>
      <c r="B25" s="3" t="inlineStr">
        <is>
          <t>测试规程有无经过评审？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6*</t>
        </is>
      </c>
      <c r="B26" s="3" t="inlineStr">
        <is>
          <t>实施测试前有无进行测试就绪状态确认？</t>
        </is>
      </c>
      <c r="C26" s="3" t="n"/>
      <c r="D26" s="3" t="n"/>
      <c r="E26" s="3" t="n"/>
      <c r="F26" s="3" t="n"/>
      <c r="G26" s="3" t="n"/>
      <c r="H26" s="3" t="inlineStr">
        <is>
          <t>✓</t>
        </is>
      </c>
      <c r="I26" s="3" t="n"/>
      <c r="J26" s="3" t="inlineStr">
        <is>
          <t>严重</t>
        </is>
      </c>
      <c r="K26" s="3" t="inlineStr">
        <is>
          <t>必要内容覆盖不完整</t>
        </is>
      </c>
      <c r="L26" s="3" t="n"/>
    </row>
    <row r="27" ht="18" customHeight="1">
      <c r="A27" s="3" t="inlineStr">
        <is>
          <t>7*</t>
        </is>
      </c>
      <c r="B27" s="3" t="inlineStr">
        <is>
          <t>有无如实记录测试用例执行过程？对于有量值要求的指标，有无记录实测值？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8</t>
        </is>
      </c>
      <c r="B28" s="3" t="inlineStr">
        <is>
          <t>对于测试发现的缺陷有无进行标识、记录并形成问题报告单？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9</t>
        </is>
      </c>
      <c r="B29" s="3" t="inlineStr">
        <is>
          <t>对于测试缺陷，有无分析并确定原因，并制定纠正措施？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10</t>
        </is>
      </c>
      <c r="B30" s="3" t="inlineStr">
        <is>
          <t>对属于测试方法、准则及环境等因素的缺陷，有无修订测试规程并重新进行测试？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11</t>
        </is>
      </c>
      <c r="B31" s="3" t="inlineStr">
        <is>
          <t>对处理后的测试缺陷有无进行回归测试？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12*</t>
        </is>
      </c>
      <c r="B32" s="3" t="inlineStr">
        <is>
          <t>对测试结果有无进行分析总结形成测试报告，并和利益相关方进行沟通确认？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13*</t>
        </is>
      </c>
      <c r="B33" s="3" t="inlineStr">
        <is>
          <t>测试报告有无经过评审？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14*</t>
        </is>
      </c>
      <c r="B34" s="3" t="inlineStr">
        <is>
          <t>测试缺陷有无归零？如未归零，有无明确的放行标准？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6">
      <c r="A36" s="7" t="inlineStr">
        <is>
          <t>不符合项问题明细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4" t="inlineStr">
        <is>
          <t>问题ID</t>
        </is>
      </c>
      <c r="B37" s="4" t="inlineStr">
        <is>
          <t>检查项</t>
        </is>
      </c>
      <c r="C37" s="4" t="inlineStr">
        <is>
          <t>问题描述</t>
        </is>
      </c>
      <c r="D37" s="4" t="inlineStr"/>
      <c r="E37" s="4" t="inlineStr"/>
      <c r="F37" s="4" t="inlineStr">
        <is>
          <t>严重程度</t>
        </is>
      </c>
      <c r="G37" s="4" t="inlineStr">
        <is>
          <t>责任人</t>
        </is>
      </c>
      <c r="H37" s="4" t="inlineStr">
        <is>
          <t>提交日期</t>
        </is>
      </c>
      <c r="I37" s="4" t="inlineStr">
        <is>
          <t>计划关闭日期</t>
        </is>
      </c>
      <c r="J37" s="4" t="inlineStr">
        <is>
          <t>纠正措施</t>
        </is>
      </c>
      <c r="K37" s="4" t="inlineStr"/>
      <c r="L37" s="4" t="inlineStr">
        <is>
          <t>关闭</t>
        </is>
      </c>
    </row>
    <row r="38" ht="30" customHeight="1">
      <c r="A38" s="3" t="n">
        <v>51</v>
      </c>
      <c r="B38" s="3" t="inlineStr">
        <is>
          <t>5</t>
        </is>
      </c>
      <c r="C38" s="3" t="inlineStr">
        <is>
          <t>相关工作产品未完整覆盖本检查项要求的必要内容和适用场景，当前结果不能支撑该项要求已经全部落实。</t>
        </is>
      </c>
      <c r="D38" s="3" t="n"/>
      <c r="E38" s="3" t="n"/>
      <c r="F38" s="3" t="inlineStr">
        <is>
          <t>一般</t>
        </is>
      </c>
      <c r="G38" s="3" t="inlineStr">
        <is>
          <t>赵要浦</t>
        </is>
      </c>
      <c r="H38" s="3" t="inlineStr">
        <is>
          <t>2026-04-20</t>
        </is>
      </c>
      <c r="I38" s="3" t="inlineStr">
        <is>
          <t>2026-04-20</t>
        </is>
      </c>
      <c r="J38" s="3" t="inlineStr">
        <is>
          <t>补齐遗漏内容和适用场景，核对相关输入后组织复核，并保留复核结论。</t>
        </is>
      </c>
      <c r="K38" s="3" t="n"/>
      <c r="L38" s="3" t="inlineStr">
        <is>
          <t>否</t>
        </is>
      </c>
    </row>
    <row r="39" ht="30" customHeight="1">
      <c r="A39" s="3" t="n">
        <v>52</v>
      </c>
      <c r="B39" s="3" t="inlineStr">
        <is>
          <t>6</t>
        </is>
      </c>
      <c r="C39" s="3" t="inlineStr">
        <is>
          <t>相关工作产品未完整覆盖本检查项要求的必要内容和适用场景，当前结果不能支撑该项要求已经全部落实。</t>
        </is>
      </c>
      <c r="D39" s="3" t="n"/>
      <c r="E39" s="3" t="n"/>
      <c r="F39" s="3" t="inlineStr">
        <is>
          <t>严重</t>
        </is>
      </c>
      <c r="G39" s="3" t="inlineStr">
        <is>
          <t>赵要浦</t>
        </is>
      </c>
      <c r="H39" s="3" t="inlineStr">
        <is>
          <t>2026-04-20</t>
        </is>
      </c>
      <c r="I39" s="3" t="inlineStr">
        <is>
          <t>2026-04-20</t>
        </is>
      </c>
      <c r="J39" s="3" t="inlineStr">
        <is>
          <t>补齐遗漏内容和适用场景，核对相关输入后组织复核，并保留复核结论。</t>
        </is>
      </c>
      <c r="K39" s="3" t="n"/>
      <c r="L39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0">
    <mergeCell ref="K16:L16"/>
    <mergeCell ref="F4:G4"/>
    <mergeCell ref="J39:K39"/>
    <mergeCell ref="K30:L30"/>
    <mergeCell ref="K25:L25"/>
    <mergeCell ref="A7:L7"/>
    <mergeCell ref="K34:L34"/>
    <mergeCell ref="B16:F16"/>
    <mergeCell ref="K24:L24"/>
    <mergeCell ref="J38:K38"/>
    <mergeCell ref="B25:F25"/>
    <mergeCell ref="K15:L15"/>
    <mergeCell ref="K33:L33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9:L29"/>
    <mergeCell ref="B11:F11"/>
    <mergeCell ref="K32:L32"/>
    <mergeCell ref="C39:E39"/>
    <mergeCell ref="B23:F23"/>
    <mergeCell ref="K31:L31"/>
    <mergeCell ref="B8:F8"/>
    <mergeCell ref="B14:F14"/>
    <mergeCell ref="K22:L22"/>
    <mergeCell ref="A3:B3"/>
    <mergeCell ref="B17:F17"/>
    <mergeCell ref="B13:F13"/>
    <mergeCell ref="C38:E38"/>
    <mergeCell ref="A20:L20"/>
    <mergeCell ref="J4:K4"/>
    <mergeCell ref="B29:F29"/>
    <mergeCell ref="K12:L12"/>
    <mergeCell ref="K8:L8"/>
    <mergeCell ref="B34:F34"/>
    <mergeCell ref="B10:F10"/>
    <mergeCell ref="B28:F28"/>
    <mergeCell ref="B19:F19"/>
    <mergeCell ref="K27:L27"/>
    <mergeCell ref="C3:E3"/>
    <mergeCell ref="A9:L9"/>
    <mergeCell ref="K23:L23"/>
    <mergeCell ref="B26:F26"/>
    <mergeCell ref="K14:L14"/>
    <mergeCell ref="K17:L17"/>
    <mergeCell ref="H3:I3"/>
    <mergeCell ref="A4:B4"/>
    <mergeCell ref="B30:F30"/>
    <mergeCell ref="J3:K3"/>
    <mergeCell ref="B24:F24"/>
    <mergeCell ref="B15:F15"/>
    <mergeCell ref="B33:F33"/>
    <mergeCell ref="A1:L1"/>
    <mergeCell ref="K10:L10"/>
    <mergeCell ref="K28:L28"/>
    <mergeCell ref="A36:L36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编号：ZDPX-03046/0.0-QA-审核报告-049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审核验证与确认过程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ZDPX-03046/0.0-QA-检查单-049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本次审核依据《验证与确认检查单》实施。经审核，发现2个不符合项。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'C049-审核验证与确认过程'!C38</f>
        <v/>
      </c>
      <c r="D13" s="3" t="n"/>
      <c r="E13" s="3" t="n"/>
      <c r="F13" s="3">
        <f>'C049-审核验证与确认过程'!F38</f>
        <v/>
      </c>
      <c r="G13" s="3">
        <f>'C049-审核验证与确认过程'!G38</f>
        <v/>
      </c>
      <c r="H13" s="3">
        <f>'C049-审核验证与确认过程'!H38</f>
        <v/>
      </c>
      <c r="I13" s="3">
        <f>'C049-审核验证与确认过程'!I38</f>
        <v/>
      </c>
      <c r="J13" s="3">
        <f>'C049-审核验证与确认过程'!J38</f>
        <v/>
      </c>
      <c r="K13" s="3" t="n"/>
    </row>
    <row r="14" ht="30" customHeight="1">
      <c r="B14" s="3" t="n">
        <v>2</v>
      </c>
      <c r="C14" s="3">
        <f>'C049-审核验证与确认过程'!C39</f>
        <v/>
      </c>
      <c r="D14" s="3" t="n"/>
      <c r="E14" s="3" t="n"/>
      <c r="F14" s="3">
        <f>'C049-审核验证与确认过程'!F39</f>
        <v/>
      </c>
      <c r="G14" s="3">
        <f>'C049-审核验证与确认过程'!G39</f>
        <v/>
      </c>
      <c r="H14" s="3">
        <f>'C049-审核验证与确认过程'!H39</f>
        <v/>
      </c>
      <c r="I14" s="3">
        <f>'C049-审核验证与确认过程'!I39</f>
        <v/>
      </c>
      <c r="J14" s="3">
        <f>'C049-审核验证与确认过程'!J39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编号：ZDPX-03046/0.0-QA-检查单-050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n"/>
      <c r="H21" s="3" t="inlineStr">
        <is>
          <t>✓</t>
        </is>
      </c>
      <c r="I21" s="3" t="n"/>
      <c r="J21" s="3" t="inlineStr">
        <is>
          <t>一般</t>
        </is>
      </c>
      <c r="K21" s="3" t="inlineStr">
        <is>
          <t>必要内容覆盖不完整</t>
        </is>
      </c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n"/>
      <c r="H22" s="3" t="inlineStr">
        <is>
          <t>✓</t>
        </is>
      </c>
      <c r="I22" s="3" t="n"/>
      <c r="J22" s="3" t="inlineStr">
        <is>
          <t>严重</t>
        </is>
      </c>
      <c r="K22" s="3" t="inlineStr">
        <is>
          <t>必要内容覆盖不完整</t>
        </is>
      </c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 ht="30" customHeight="1">
      <c r="A33" s="3" t="n">
        <v>53</v>
      </c>
      <c r="B33" s="3" t="inlineStr">
        <is>
          <t>14</t>
        </is>
      </c>
      <c r="C33" s="3" t="inlineStr">
        <is>
          <t>相关工作产品未完整覆盖本检查项要求的必要内容和适用场景，当前结果不能支撑该项要求已经全部落实。</t>
        </is>
      </c>
      <c r="D33" s="3" t="n"/>
      <c r="E33" s="3" t="n"/>
      <c r="F33" s="3" t="inlineStr">
        <is>
          <t>一般</t>
        </is>
      </c>
      <c r="G33" s="3" t="inlineStr">
        <is>
          <t>赵要浦</t>
        </is>
      </c>
      <c r="H33" s="3" t="inlineStr">
        <is>
          <t>2026-04-20</t>
        </is>
      </c>
      <c r="I33" s="3" t="inlineStr">
        <is>
          <t>2026-04-20</t>
        </is>
      </c>
      <c r="J33" s="3" t="inlineStr">
        <is>
          <t>补齐遗漏内容和适用场景，核对相关输入后组织复核，并保留复核结论。</t>
        </is>
      </c>
      <c r="K33" s="3" t="n"/>
      <c r="L33" s="3" t="inlineStr">
        <is>
          <t>否</t>
        </is>
      </c>
    </row>
    <row r="34" ht="30" customHeight="1">
      <c r="A34" s="3" t="n">
        <v>54</v>
      </c>
      <c r="B34" s="3" t="inlineStr">
        <is>
          <t>15</t>
        </is>
      </c>
      <c r="C34" s="3" t="inlineStr">
        <is>
          <t>相关工作产品未完整覆盖本检查项要求的必要内容和适用场景，当前结果不能支撑该项要求已经全部落实。</t>
        </is>
      </c>
      <c r="D34" s="3" t="n"/>
      <c r="E34" s="3" t="n"/>
      <c r="F34" s="3" t="inlineStr">
        <is>
          <t>严重</t>
        </is>
      </c>
      <c r="G34" s="3" t="inlineStr">
        <is>
          <t>赵要浦</t>
        </is>
      </c>
      <c r="H34" s="3" t="inlineStr">
        <is>
          <t>2026-04-20</t>
        </is>
      </c>
      <c r="I34" s="3" t="inlineStr">
        <is>
          <t>2026-04-20</t>
        </is>
      </c>
      <c r="J34" s="3" t="inlineStr">
        <is>
          <t>补齐遗漏内容和适用场景，核对相关输入后组织复核，并保留复核结论。</t>
        </is>
      </c>
      <c r="K34" s="3" t="n"/>
      <c r="L34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2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J34:K34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C34:E34"/>
    <mergeCell ref="B9:F9"/>
    <mergeCell ref="K17:L17"/>
    <mergeCell ref="H3:I3"/>
    <mergeCell ref="A4:B4"/>
    <mergeCell ref="J3:K3"/>
    <mergeCell ref="C33:E33"/>
    <mergeCell ref="B24:F24"/>
    <mergeCell ref="B20:F20"/>
    <mergeCell ref="B15:F15"/>
    <mergeCell ref="A1:L1"/>
    <mergeCell ref="K10:L10"/>
    <mergeCell ref="K28:L28"/>
    <mergeCell ref="C4:E4"/>
    <mergeCell ref="K19:L19"/>
    <mergeCell ref="J33:K33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编号：ZDPX-03046/0.0-QA-审核报告-050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ZDPX-03046/0.0-QA-检查单-050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'C050-审核配置管理过程-阶段'!C33</f>
        <v/>
      </c>
      <c r="D13" s="3" t="n"/>
      <c r="E13" s="3" t="n"/>
      <c r="F13" s="3">
        <f>'C050-审核配置管理过程-阶段'!F33</f>
        <v/>
      </c>
      <c r="G13" s="3">
        <f>'C050-审核配置管理过程-阶段'!G33</f>
        <v/>
      </c>
      <c r="H13" s="3">
        <f>'C050-审核配置管理过程-阶段'!H33</f>
        <v/>
      </c>
      <c r="I13" s="3">
        <f>'C050-审核配置管理过程-阶段'!I33</f>
        <v/>
      </c>
      <c r="J13" s="3">
        <f>'C050-审核配置管理过程-阶段'!J33</f>
        <v/>
      </c>
      <c r="K13" s="3" t="n"/>
    </row>
    <row r="14" ht="30" customHeight="1">
      <c r="B14" s="3" t="n">
        <v>2</v>
      </c>
      <c r="C14" s="3">
        <f>'C050-审核配置管理过程-阶段'!C34</f>
        <v/>
      </c>
      <c r="D14" s="3" t="n"/>
      <c r="E14" s="3" t="n"/>
      <c r="F14" s="3">
        <f>'C050-审核配置管理过程-阶段'!F34</f>
        <v/>
      </c>
      <c r="G14" s="3">
        <f>'C050-审核配置管理过程-阶段'!G34</f>
        <v/>
      </c>
      <c r="H14" s="3">
        <f>'C050-审核配置管理过程-阶段'!H34</f>
        <v/>
      </c>
      <c r="I14" s="3">
        <f>'C050-审核配置管理过程-阶段'!I34</f>
        <v/>
      </c>
      <c r="J14" s="3">
        <f>'C050-审核配置管理过程-阶段'!J34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项目监控检查单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编号：ZDPX-03046/0.0-QA-检查单-051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审核项目监控过程-阶段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本阶段的任务是否以任务分配表的形式分配到个人？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项目组成员是否按时填写个人工作报告，记录个人完成任务的情况、工作量等信息？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3*</t>
        </is>
      </c>
      <c r="B10" s="3" t="inlineStr">
        <is>
          <t>在每个跟踪节点，项目负责人是否对项目进度和工作量进行汇总，并与计划值进行比较？对于超过阈值的偏差是否进行了分析？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30" customHeight="1">
      <c r="A11" s="3" t="inlineStr">
        <is>
          <t>4</t>
        </is>
      </c>
      <c r="B11" s="3" t="inlineStr">
        <is>
          <t>每当工作产品完成时，项目负责人是否统计工作产品实际规模，并与计划值进行比较？对于超过阈值的偏差是否进行了分析？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是否依据利益相关方参与计划，及时记录利益相关方参与情况？对出现的偏差有无进行分析？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是否按体系要求对识别出的风险进行跟踪？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当识别出新风险时，是否更新项目风险表并进行跟踪？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是否对资源计划进行了跟踪？对出现的偏差有无进行分析？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是否对培训计划进行了跟踪？对出现的偏差有无进行分析？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项目负责人对项目跟踪过程中发现的问题是否及时记录，并制定纠正措施？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纠正措施是否明确了责任人、验证人？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当纠正措施会影响到对外承诺时，是否与利益相关方对纠正措施进行了评审？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对已经识别出的项目问题是否进行了跟踪？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是否对纠正结果进行了验证？有无记录验证情况及验证时间？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是否定期（双周、阶段末和里程碑）对采集的各项数据进行分析，形成测量分析报告？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是否定期（双周、阶段末和里程碑）对质量工作进行总结，形成质量审核工作报告？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是否定期（阶段末和里程碑）对配管工作进行总结，形成配置管理工作报告？</t>
        </is>
      </c>
      <c r="C24" s="3" t="n"/>
      <c r="D24" s="3" t="n"/>
      <c r="E24" s="3" t="n"/>
      <c r="F24" s="3" t="n"/>
      <c r="G24" s="3" t="n"/>
      <c r="H24" s="3" t="inlineStr">
        <is>
          <t>✓</t>
        </is>
      </c>
      <c r="I24" s="3" t="n"/>
      <c r="J24" s="3" t="inlineStr">
        <is>
          <t>一般</t>
        </is>
      </c>
      <c r="K24" s="3" t="inlineStr">
        <is>
          <t>必要内容覆盖不完整</t>
        </is>
      </c>
      <c r="L24" s="3" t="n"/>
    </row>
    <row r="25" ht="18" customHeight="1">
      <c r="A25" s="3" t="inlineStr">
        <is>
          <t>18</t>
        </is>
      </c>
      <c r="B25" s="3" t="inlineStr">
        <is>
          <t>是否定期（阶段末和里程碑）对需求管理工作进行总结，形成需求管理情况工作报告？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30" customHeight="1">
      <c r="A26" s="3" t="inlineStr">
        <is>
          <t>19*</t>
        </is>
      </c>
      <c r="B26" s="3" t="inlineStr">
        <is>
          <t>项目负责人是否定期（双周、阶段末和里程碑）将工作进展及策划参数跟踪情况、问题及风险跟踪情况、偏差处理措施等进行汇总，形成项目进展报告？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项目进展报告是否上报给项目总监，并通报给项目组人员？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项目例会中是否对进展报告进行了交流，并对问题、风险、偏差等进行了讨论？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项目例会有无形成会议纪要？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23*</t>
        </is>
      </c>
      <c r="B30" s="3" t="inlineStr">
        <is>
          <t>是否按计划实施里程碑评审？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</t>
        </is>
      </c>
      <c r="B31" s="3" t="inlineStr">
        <is>
          <t>里程碑评审参会人员是否符合体系要求？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25*</t>
        </is>
      </c>
      <c r="B32" s="3" t="inlineStr">
        <is>
          <t>里程碑评审会的材料是否准备齐全？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30" customHeight="1">
      <c r="A33" s="3" t="inlineStr">
        <is>
          <t>26</t>
        </is>
      </c>
      <c r="B33" s="3" t="inlineStr">
        <is>
          <t>里程碑评审是否对评审节点前的项目进展情况、规模、进度、工作量、问题和风险等的跟踪情况进行了分析并标识出偏差。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27</t>
        </is>
      </c>
      <c r="B34" s="3" t="inlineStr">
        <is>
          <t>对于超出阈值的偏差是否分析了原因，并提出相应的措施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28</t>
        </is>
      </c>
      <c r="B35" s="3" t="inlineStr">
        <is>
          <t>是否对新识别的问题制定了纠正措施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29*</t>
        </is>
      </c>
      <c r="B36" s="3" t="inlineStr">
        <is>
          <t>里程碑评审后是否形成评审报告，并指定负责人处理评审意见。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30</t>
        </is>
      </c>
      <c r="B37" s="3" t="inlineStr">
        <is>
          <t>对评审意见的处理有无进行跟踪，直到形成闭环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8" ht="18" customHeight="1">
      <c r="A38" s="3" t="inlineStr">
        <is>
          <t>31</t>
        </is>
      </c>
      <c r="B38" s="3" t="inlineStr">
        <is>
          <t>需对软件开发计划进行变更时，是否按要求办理了变更审批手续</t>
        </is>
      </c>
      <c r="C38" s="3" t="n"/>
      <c r="D38" s="3" t="n"/>
      <c r="E38" s="3" t="n"/>
      <c r="F38" s="3" t="n"/>
      <c r="G38" s="3" t="inlineStr">
        <is>
          <t>✓</t>
        </is>
      </c>
      <c r="H38" s="3" t="n"/>
      <c r="I38" s="3" t="n"/>
      <c r="J38" s="3" t="inlineStr"/>
      <c r="K38" s="3" t="inlineStr"/>
      <c r="L38" s="3" t="n"/>
    </row>
    <row r="39" ht="18" customHeight="1">
      <c r="A39" s="3" t="inlineStr">
        <is>
          <t>32</t>
        </is>
      </c>
      <c r="B39" s="3" t="inlineStr">
        <is>
          <t>是否按规程修订项目软件开发计划及相关文档</t>
        </is>
      </c>
      <c r="C39" s="3" t="n"/>
      <c r="D39" s="3" t="n"/>
      <c r="E39" s="3" t="n"/>
      <c r="F39" s="3" t="n"/>
      <c r="G39" s="3" t="inlineStr">
        <is>
          <t>✓</t>
        </is>
      </c>
      <c r="H39" s="3" t="n"/>
      <c r="I39" s="3" t="n"/>
      <c r="J39" s="3" t="inlineStr"/>
      <c r="K39" s="3" t="inlineStr"/>
      <c r="L39" s="3" t="n"/>
    </row>
    <row r="40" ht="18" customHeight="1">
      <c r="A40" s="3" t="inlineStr">
        <is>
          <t>33*</t>
        </is>
      </c>
      <c r="B40" s="3" t="inlineStr">
        <is>
          <t>对外部承诺的变更是否经公司CCB的批准</t>
        </is>
      </c>
      <c r="C40" s="3" t="n"/>
      <c r="D40" s="3" t="n"/>
      <c r="E40" s="3" t="n"/>
      <c r="F40" s="3" t="n"/>
      <c r="G40" s="3" t="inlineStr">
        <is>
          <t>✓</t>
        </is>
      </c>
      <c r="H40" s="3" t="n"/>
      <c r="I40" s="3" t="n"/>
      <c r="J40" s="3" t="inlineStr"/>
      <c r="K40" s="3" t="inlineStr"/>
      <c r="L40" s="3" t="n"/>
    </row>
    <row r="41" ht="18" customHeight="1">
      <c r="A41" s="3" t="inlineStr">
        <is>
          <t>34</t>
        </is>
      </c>
      <c r="B41" s="3" t="inlineStr">
        <is>
          <t>是否有通知受影响的组和个人的记录</t>
        </is>
      </c>
      <c r="C41" s="3" t="n"/>
      <c r="D41" s="3" t="n"/>
      <c r="E41" s="3" t="n"/>
      <c r="F41" s="3" t="n"/>
      <c r="G41" s="3" t="inlineStr">
        <is>
          <t>✓</t>
        </is>
      </c>
      <c r="H41" s="3" t="n"/>
      <c r="I41" s="3" t="n"/>
      <c r="J41" s="3" t="inlineStr"/>
      <c r="K41" s="3" t="inlineStr"/>
      <c r="L41" s="3" t="n"/>
    </row>
    <row r="43">
      <c r="A43" s="7" t="inlineStr">
        <is>
          <t>不符合项问题明细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4" t="inlineStr">
        <is>
          <t>问题ID</t>
        </is>
      </c>
      <c r="B44" s="4" t="inlineStr">
        <is>
          <t>检查项</t>
        </is>
      </c>
      <c r="C44" s="4" t="inlineStr">
        <is>
          <t>问题描述</t>
        </is>
      </c>
      <c r="D44" s="4" t="inlineStr"/>
      <c r="E44" s="4" t="inlineStr"/>
      <c r="F44" s="4" t="inlineStr">
        <is>
          <t>严重程度</t>
        </is>
      </c>
      <c r="G44" s="4" t="inlineStr">
        <is>
          <t>责任人</t>
        </is>
      </c>
      <c r="H44" s="4" t="inlineStr">
        <is>
          <t>提交日期</t>
        </is>
      </c>
      <c r="I44" s="4" t="inlineStr">
        <is>
          <t>计划关闭日期</t>
        </is>
      </c>
      <c r="J44" s="4" t="inlineStr">
        <is>
          <t>纠正措施</t>
        </is>
      </c>
      <c r="K44" s="4" t="inlineStr"/>
      <c r="L44" s="4" t="inlineStr">
        <is>
          <t>关闭</t>
        </is>
      </c>
    </row>
    <row r="45" ht="30" customHeight="1">
      <c r="A45" s="3" t="n">
        <v>55</v>
      </c>
      <c r="B45" s="3" t="inlineStr">
        <is>
          <t>17</t>
        </is>
      </c>
      <c r="C45" s="3" t="inlineStr">
        <is>
          <t>相关工作产品未完整覆盖本检查项要求的必要内容和适用场景，当前结果不能支撑该项要求已经全部落实。</t>
        </is>
      </c>
      <c r="D45" s="3" t="n"/>
      <c r="E45" s="3" t="n"/>
      <c r="F45" s="3" t="inlineStr">
        <is>
          <t>一般</t>
        </is>
      </c>
      <c r="G45" s="3" t="inlineStr">
        <is>
          <t>赵要浦</t>
        </is>
      </c>
      <c r="H45" s="3" t="inlineStr">
        <is>
          <t>2026-04-20</t>
        </is>
      </c>
      <c r="I45" s="3" t="inlineStr">
        <is>
          <t>2026-04-20</t>
        </is>
      </c>
      <c r="J45" s="3" t="inlineStr">
        <is>
          <t>补齐遗漏内容和适用场景，核对相关输入后组织复核，并保留复核结论。</t>
        </is>
      </c>
      <c r="K45" s="3" t="n"/>
      <c r="L45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4">
    <mergeCell ref="B16:F16"/>
    <mergeCell ref="K24:L24"/>
    <mergeCell ref="B25:F25"/>
    <mergeCell ref="K33:L33"/>
    <mergeCell ref="B18:F18"/>
    <mergeCell ref="B27:F27"/>
    <mergeCell ref="K26:L26"/>
    <mergeCell ref="K35:L35"/>
    <mergeCell ref="B11:F11"/>
    <mergeCell ref="J45:K45"/>
    <mergeCell ref="J4:K4"/>
    <mergeCell ref="B34:F34"/>
    <mergeCell ref="B28:F28"/>
    <mergeCell ref="B37:F37"/>
    <mergeCell ref="B30:F30"/>
    <mergeCell ref="B20:F20"/>
    <mergeCell ref="B15:F15"/>
    <mergeCell ref="K28:L28"/>
    <mergeCell ref="K37:L37"/>
    <mergeCell ref="K13:L13"/>
    <mergeCell ref="K30:L30"/>
    <mergeCell ref="K15:L15"/>
    <mergeCell ref="K21:L21"/>
    <mergeCell ref="K32:L32"/>
    <mergeCell ref="K41:L41"/>
    <mergeCell ref="B8:F8"/>
    <mergeCell ref="B17:F17"/>
    <mergeCell ref="A43:L43"/>
    <mergeCell ref="B10:F10"/>
    <mergeCell ref="B19:F19"/>
    <mergeCell ref="K27:L27"/>
    <mergeCell ref="B9:F9"/>
    <mergeCell ref="K17:L17"/>
    <mergeCell ref="H3:I3"/>
    <mergeCell ref="J3:K3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39:F39"/>
    <mergeCell ref="B23:F23"/>
    <mergeCell ref="K31:L31"/>
    <mergeCell ref="K40:L40"/>
    <mergeCell ref="A3:B3"/>
    <mergeCell ref="B13:F13"/>
    <mergeCell ref="K8:L8"/>
    <mergeCell ref="K23:L23"/>
    <mergeCell ref="A4:B4"/>
    <mergeCell ref="C4:E4"/>
    <mergeCell ref="B36:F36"/>
    <mergeCell ref="K18:L18"/>
    <mergeCell ref="A7:L7"/>
    <mergeCell ref="K34:L34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B38:F38"/>
    <mergeCell ref="C3:E3"/>
    <mergeCell ref="K39:L39"/>
    <mergeCell ref="K14:L14"/>
    <mergeCell ref="B40:F40"/>
    <mergeCell ref="B24:F24"/>
    <mergeCell ref="K38:L38"/>
    <mergeCell ref="B33:F33"/>
    <mergeCell ref="C45:E45"/>
    <mergeCell ref="A1:L1"/>
    <mergeCell ref="B32:F32"/>
    <mergeCell ref="B26:F26"/>
    <mergeCell ref="B41:F41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编号：ZDPX-03046/0.0-QA-审核报告-051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审核项目监控过程-阶段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ZDPX-03046/0.0-QA-检查单-051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本次审核依据《项目监控检查单》实施。经审核，发现1个不符合项。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'C051-审核项目监控过程-阶段'!C45</f>
        <v/>
      </c>
      <c r="D13" s="3" t="n"/>
      <c r="E13" s="3" t="n"/>
      <c r="F13" s="3">
        <f>'C051-审核项目监控过程-阶段'!F45</f>
        <v/>
      </c>
      <c r="G13" s="3">
        <f>'C051-审核项目监控过程-阶段'!G45</f>
        <v/>
      </c>
      <c r="H13" s="3">
        <f>'C051-审核项目监控过程-阶段'!H45</f>
        <v/>
      </c>
      <c r="I13" s="3">
        <f>'C051-审核项目监控过程-阶段'!I45</f>
        <v/>
      </c>
      <c r="J13" s="3">
        <f>'C051-审核项目监控过程-阶段'!J45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测量与绩效管理检查单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编号：ZDPX-03046/0.0-QA-检查单-052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审核测量与绩效管理-阶段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是否建立了项目的测量目标？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是否根据测量目标确定了项目所要使用的测量项？</t>
        </is>
      </c>
      <c r="C9" s="3" t="n"/>
      <c r="D9" s="3" t="n"/>
      <c r="E9" s="3" t="n"/>
      <c r="F9" s="3" t="n"/>
      <c r="G9" s="3" t="n"/>
      <c r="H9" s="3" t="inlineStr">
        <is>
          <t>✓</t>
        </is>
      </c>
      <c r="I9" s="3" t="n"/>
      <c r="J9" s="3" t="inlineStr">
        <is>
          <t>一般</t>
        </is>
      </c>
      <c r="K9" s="3" t="inlineStr">
        <is>
          <t>必要内容覆盖不完整</t>
        </is>
      </c>
      <c r="L9" s="3" t="n"/>
    </row>
    <row r="10" ht="18" customHeight="1">
      <c r="A10" s="3" t="inlineStr">
        <is>
          <t>3</t>
        </is>
      </c>
      <c r="B10" s="3" t="inlineStr">
        <is>
          <t>是否指定了测量分析的负责人？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是否确定了测量数据的存储方式？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是否明确了项目测量项的采集时机、采集方法、采集位置及采集人？</t>
        </is>
      </c>
      <c r="C12" s="3" t="n"/>
      <c r="D12" s="3" t="n"/>
      <c r="E12" s="3" t="n"/>
      <c r="F12" s="3" t="n"/>
      <c r="G12" s="3" t="n"/>
      <c r="H12" s="3" t="inlineStr">
        <is>
          <t>✓</t>
        </is>
      </c>
      <c r="I12" s="3" t="n"/>
      <c r="J12" s="3" t="inlineStr">
        <is>
          <t>一般</t>
        </is>
      </c>
      <c r="K12" s="3" t="inlineStr">
        <is>
          <t>必要内容覆盖不完整</t>
        </is>
      </c>
      <c r="L12" s="3" t="n"/>
    </row>
    <row r="13" ht="18" customHeight="1">
      <c r="A13" s="3" t="inlineStr">
        <is>
          <t>6</t>
        </is>
      </c>
      <c r="B13" s="3" t="inlineStr">
        <is>
          <t>是否指明了对测量数据的分析方法、表达方式等？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是否明确了测量数据分析结果的交流时机、交流方式？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是否制定了项目的测量与分析计划？并对测量分析计划进行了评审？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当项目有新增测量项时，是否经过软件工程过程组的审批？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是否按照测量与分析计划，在规定的时间和采集点收集测量数据？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是否将采集到的数据（需要时进行预处理）存入指定的数据分析工具平台？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是否在计划时间点对采集到的测量数据进行分析？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是否将分析结果汇总形成测量与分析报告？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是否与项目组、利益相关方（必要时）交流了测量数据的分析结果？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项目实施过程中，测量相关的数据和文档有无得到有效控制？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4">
      <c r="A24" s="7" t="inlineStr">
        <is>
          <t>不符合项问题明细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4" t="inlineStr">
        <is>
          <t>问题ID</t>
        </is>
      </c>
      <c r="B25" s="4" t="inlineStr">
        <is>
          <t>检查项</t>
        </is>
      </c>
      <c r="C25" s="4" t="inlineStr">
        <is>
          <t>问题描述</t>
        </is>
      </c>
      <c r="D25" s="4" t="inlineStr"/>
      <c r="E25" s="4" t="inlineStr"/>
      <c r="F25" s="4" t="inlineStr">
        <is>
          <t>严重程度</t>
        </is>
      </c>
      <c r="G25" s="4" t="inlineStr">
        <is>
          <t>责任人</t>
        </is>
      </c>
      <c r="H25" s="4" t="inlineStr">
        <is>
          <t>提交日期</t>
        </is>
      </c>
      <c r="I25" s="4" t="inlineStr">
        <is>
          <t>计划关闭日期</t>
        </is>
      </c>
      <c r="J25" s="4" t="inlineStr">
        <is>
          <t>纠正措施</t>
        </is>
      </c>
      <c r="K25" s="4" t="inlineStr"/>
      <c r="L25" s="4" t="inlineStr">
        <is>
          <t>关闭</t>
        </is>
      </c>
    </row>
    <row r="26" ht="30" customHeight="1">
      <c r="A26" s="3" t="n">
        <v>56</v>
      </c>
      <c r="B26" s="3" t="inlineStr">
        <is>
          <t>2</t>
        </is>
      </c>
      <c r="C26" s="3" t="inlineStr">
        <is>
          <t>相关工作产品未完整覆盖本检查项要求的必要内容和适用场景，当前结果不能支撑该项要求已经全部落实。</t>
        </is>
      </c>
      <c r="D26" s="3" t="n"/>
      <c r="E26" s="3" t="n"/>
      <c r="F26" s="3" t="inlineStr">
        <is>
          <t>一般</t>
        </is>
      </c>
      <c r="G26" s="3" t="inlineStr">
        <is>
          <t>赵要浦</t>
        </is>
      </c>
      <c r="H26" s="3" t="inlineStr">
        <is>
          <t>2026-04-20</t>
        </is>
      </c>
      <c r="I26" s="3" t="inlineStr">
        <is>
          <t>2026-04-20</t>
        </is>
      </c>
      <c r="J26" s="3" t="inlineStr">
        <is>
          <t>补齐遗漏内容和适用场景，核对相关输入后组织复核，并保留复核结论。</t>
        </is>
      </c>
      <c r="K26" s="3" t="n"/>
      <c r="L26" s="3" t="inlineStr">
        <is>
          <t>否</t>
        </is>
      </c>
    </row>
    <row r="27" ht="30" customHeight="1">
      <c r="A27" s="3" t="n">
        <v>57</v>
      </c>
      <c r="B27" s="3" t="inlineStr">
        <is>
          <t>5</t>
        </is>
      </c>
      <c r="C27" s="3" t="inlineStr">
        <is>
          <t>相关工作产品未完整覆盖本检查项要求的必要内容和适用场景，当前结果不能支撑该项要求已经全部落实。</t>
        </is>
      </c>
      <c r="D27" s="3" t="n"/>
      <c r="E27" s="3" t="n"/>
      <c r="F27" s="3" t="inlineStr">
        <is>
          <t>一般</t>
        </is>
      </c>
      <c r="G27" s="3" t="inlineStr">
        <is>
          <t>赵要浦</t>
        </is>
      </c>
      <c r="H27" s="3" t="inlineStr">
        <is>
          <t>2026-04-20</t>
        </is>
      </c>
      <c r="I27" s="3" t="inlineStr">
        <is>
          <t>2026-04-20</t>
        </is>
      </c>
      <c r="J27" s="3" t="inlineStr">
        <is>
          <t>补齐遗漏内容和适用场景，核对相关输入后组织复核，并保留复核结论。</t>
        </is>
      </c>
      <c r="K27" s="3" t="n"/>
      <c r="L27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8">
    <mergeCell ref="K16:L16"/>
    <mergeCell ref="F4:G4"/>
    <mergeCell ref="A7:L7"/>
    <mergeCell ref="B16:F16"/>
    <mergeCell ref="K15:L15"/>
    <mergeCell ref="K9:L9"/>
    <mergeCell ref="H4:I4"/>
    <mergeCell ref="B22:F22"/>
    <mergeCell ref="B18:F18"/>
    <mergeCell ref="K21:L21"/>
    <mergeCell ref="F3:G3"/>
    <mergeCell ref="B21:F21"/>
    <mergeCell ref="A2:L2"/>
    <mergeCell ref="B12:F12"/>
    <mergeCell ref="K11:L11"/>
    <mergeCell ref="K20:L20"/>
    <mergeCell ref="C27:E27"/>
    <mergeCell ref="B11:F11"/>
    <mergeCell ref="J27:K27"/>
    <mergeCell ref="B8:F8"/>
    <mergeCell ref="B14:F14"/>
    <mergeCell ref="K22:L22"/>
    <mergeCell ref="A3:B3"/>
    <mergeCell ref="B17:F17"/>
    <mergeCell ref="B13:F13"/>
    <mergeCell ref="J26:K26"/>
    <mergeCell ref="J4:K4"/>
    <mergeCell ref="K12:L12"/>
    <mergeCell ref="K8:L8"/>
    <mergeCell ref="B10:F10"/>
    <mergeCell ref="B19:F19"/>
    <mergeCell ref="C3:E3"/>
    <mergeCell ref="K14:L14"/>
    <mergeCell ref="B9:F9"/>
    <mergeCell ref="K17:L17"/>
    <mergeCell ref="H3:I3"/>
    <mergeCell ref="A4:B4"/>
    <mergeCell ref="A24:L24"/>
    <mergeCell ref="J3:K3"/>
    <mergeCell ref="B20:F20"/>
    <mergeCell ref="B15:F15"/>
    <mergeCell ref="A1:L1"/>
    <mergeCell ref="K10:L10"/>
    <mergeCell ref="C4:E4"/>
    <mergeCell ref="K19:L19"/>
    <mergeCell ref="C26:E26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编号：ZDPX-03046/0.0-QA-审核报告-052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审核测量与绩效管理-阶段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ZDPX-03046/0.0-QA-检查单-052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本次审核依据《测量与绩效管理检查单》实施。经审核，发现2个不符合项。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'C052-审核测量与绩效管理-阶段'!C26</f>
        <v/>
      </c>
      <c r="D13" s="3" t="n"/>
      <c r="E13" s="3" t="n"/>
      <c r="F13" s="3">
        <f>'C052-审核测量与绩效管理-阶段'!F26</f>
        <v/>
      </c>
      <c r="G13" s="3">
        <f>'C052-审核测量与绩效管理-阶段'!G26</f>
        <v/>
      </c>
      <c r="H13" s="3">
        <f>'C052-审核测量与绩效管理-阶段'!H26</f>
        <v/>
      </c>
      <c r="I13" s="3">
        <f>'C052-审核测量与绩效管理-阶段'!I26</f>
        <v/>
      </c>
      <c r="J13" s="3">
        <f>'C052-审核测量与绩效管理-阶段'!J26</f>
        <v/>
      </c>
      <c r="K13" s="3" t="n"/>
    </row>
    <row r="14" ht="30" customHeight="1">
      <c r="B14" s="3" t="n">
        <v>2</v>
      </c>
      <c r="C14" s="3">
        <f>'C052-审核测量与绩效管理-阶段'!C27</f>
        <v/>
      </c>
      <c r="D14" s="3" t="n"/>
      <c r="E14" s="3" t="n"/>
      <c r="F14" s="3">
        <f>'C052-审核测量与绩效管理-阶段'!F27</f>
        <v/>
      </c>
      <c r="G14" s="3">
        <f>'C052-审核测量与绩效管理-阶段'!G27</f>
        <v/>
      </c>
      <c r="H14" s="3">
        <f>'C052-审核测量与绩效管理-阶段'!H27</f>
        <v/>
      </c>
      <c r="I14" s="3">
        <f>'C052-审核测量与绩效管理-阶段'!I27</f>
        <v/>
      </c>
      <c r="J14" s="3">
        <f>'C052-审核测量与绩效管理-阶段'!J27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审核对象</t>
        </is>
      </c>
      <c r="C1" t="inlineStr">
        <is>
          <t>问题序号</t>
        </is>
      </c>
      <c r="D1" t="inlineStr">
        <is>
          <t>NC类型</t>
        </is>
      </c>
      <c r="E1" t="inlineStr">
        <is>
          <t>问题描述</t>
        </is>
      </c>
      <c r="F1" t="inlineStr">
        <is>
          <t>严重程度</t>
        </is>
      </c>
      <c r="G1" t="inlineStr">
        <is>
          <t>是否关闭</t>
        </is>
      </c>
      <c r="H1" t="inlineStr">
        <is>
          <t>归组日期</t>
        </is>
      </c>
      <c r="I1" t="inlineStr">
        <is>
          <t>节点类型</t>
        </is>
      </c>
      <c r="J1" t="inlineStr">
        <is>
          <t>审核日期</t>
        </is>
      </c>
    </row>
    <row r="2">
      <c r="A2" t="n">
        <v>49</v>
      </c>
      <c r="B2">
        <f>'R049-审核验证与确认过程'!F4</f>
        <v/>
      </c>
      <c r="C2">
        <f>'R049-审核验证与确认过程'!B13</f>
        <v/>
      </c>
      <c r="D2" t="inlineStr">
        <is>
          <t>VV</t>
        </is>
      </c>
      <c r="E2">
        <f>'R049-审核验证与确认过程'!C13</f>
        <v/>
      </c>
      <c r="F2">
        <f>'R049-审核验证与确认过程'!F13</f>
        <v/>
      </c>
      <c r="G2" t="inlineStr">
        <is>
          <t>否</t>
        </is>
      </c>
      <c r="H2" t="inlineStr">
        <is>
          <t>2026-04-20</t>
        </is>
      </c>
      <c r="I2" t="inlineStr">
        <is>
          <t>阶段</t>
        </is>
      </c>
      <c r="J2" t="inlineStr">
        <is>
          <t>2026-04-20</t>
        </is>
      </c>
    </row>
    <row r="3">
      <c r="A3" t="n">
        <v>49</v>
      </c>
      <c r="B3">
        <f>'R049-审核验证与确认过程'!F4</f>
        <v/>
      </c>
      <c r="C3">
        <f>'R049-审核验证与确认过程'!B14</f>
        <v/>
      </c>
      <c r="D3" t="inlineStr">
        <is>
          <t>VV</t>
        </is>
      </c>
      <c r="E3">
        <f>'R049-审核验证与确认过程'!C14</f>
        <v/>
      </c>
      <c r="F3">
        <f>'R049-审核验证与确认过程'!F14</f>
        <v/>
      </c>
      <c r="G3" t="inlineStr">
        <is>
          <t>否</t>
        </is>
      </c>
      <c r="H3" t="inlineStr">
        <is>
          <t>2026-04-20</t>
        </is>
      </c>
      <c r="I3" t="inlineStr">
        <is>
          <t>阶段</t>
        </is>
      </c>
      <c r="J3" t="inlineStr">
        <is>
          <t>2026-04-20</t>
        </is>
      </c>
    </row>
    <row r="4">
      <c r="A4" t="n">
        <v>50</v>
      </c>
      <c r="B4">
        <f>'R050-审核配置管理过程-阶段'!F4</f>
        <v/>
      </c>
      <c r="C4">
        <f>'R050-审核配置管理过程-阶段'!B13</f>
        <v/>
      </c>
      <c r="D4" t="inlineStr">
        <is>
          <t>CM</t>
        </is>
      </c>
      <c r="E4">
        <f>'R050-审核配置管理过程-阶段'!C13</f>
        <v/>
      </c>
      <c r="F4">
        <f>'R050-审核配置管理过程-阶段'!F13</f>
        <v/>
      </c>
      <c r="G4" t="inlineStr">
        <is>
          <t>否</t>
        </is>
      </c>
      <c r="H4" t="inlineStr">
        <is>
          <t>2026-04-20</t>
        </is>
      </c>
      <c r="I4" t="inlineStr">
        <is>
          <t>阶段</t>
        </is>
      </c>
      <c r="J4" t="inlineStr">
        <is>
          <t>2026-04-20</t>
        </is>
      </c>
    </row>
    <row r="5">
      <c r="A5" t="n">
        <v>50</v>
      </c>
      <c r="B5">
        <f>'R050-审核配置管理过程-阶段'!F4</f>
        <v/>
      </c>
      <c r="C5">
        <f>'R050-审核配置管理过程-阶段'!B14</f>
        <v/>
      </c>
      <c r="D5" t="inlineStr">
        <is>
          <t>CM</t>
        </is>
      </c>
      <c r="E5">
        <f>'R050-审核配置管理过程-阶段'!C14</f>
        <v/>
      </c>
      <c r="F5">
        <f>'R050-审核配置管理过程-阶段'!F14</f>
        <v/>
      </c>
      <c r="G5" t="inlineStr">
        <is>
          <t>否</t>
        </is>
      </c>
      <c r="H5" t="inlineStr">
        <is>
          <t>2026-04-20</t>
        </is>
      </c>
      <c r="I5" t="inlineStr">
        <is>
          <t>阶段</t>
        </is>
      </c>
      <c r="J5" t="inlineStr">
        <is>
          <t>2026-04-20</t>
        </is>
      </c>
    </row>
    <row r="6">
      <c r="A6" t="n">
        <v>51</v>
      </c>
      <c r="B6">
        <f>'R051-审核项目监控过程-阶段'!F4</f>
        <v/>
      </c>
      <c r="C6">
        <f>'R051-审核项目监控过程-阶段'!B13</f>
        <v/>
      </c>
      <c r="D6" t="inlineStr">
        <is>
          <t>PMC</t>
        </is>
      </c>
      <c r="E6">
        <f>'R051-审核项目监控过程-阶段'!C13</f>
        <v/>
      </c>
      <c r="F6">
        <f>'R051-审核项目监控过程-阶段'!F13</f>
        <v/>
      </c>
      <c r="G6" t="inlineStr">
        <is>
          <t>否</t>
        </is>
      </c>
      <c r="H6" t="inlineStr">
        <is>
          <t>2026-04-20</t>
        </is>
      </c>
      <c r="I6" t="inlineStr">
        <is>
          <t>阶段</t>
        </is>
      </c>
      <c r="J6" t="inlineStr">
        <is>
          <t>2026-04-20</t>
        </is>
      </c>
    </row>
    <row r="7">
      <c r="A7" t="n">
        <v>52</v>
      </c>
      <c r="B7">
        <f>'R052-审核测量与绩效管理-阶段'!F4</f>
        <v/>
      </c>
      <c r="C7">
        <f>'R052-审核测量与绩效管理-阶段'!B13</f>
        <v/>
      </c>
      <c r="D7" t="inlineStr">
        <is>
          <t>MPM</t>
        </is>
      </c>
      <c r="E7">
        <f>'R052-审核测量与绩效管理-阶段'!C13</f>
        <v/>
      </c>
      <c r="F7">
        <f>'R052-审核测量与绩效管理-阶段'!F13</f>
        <v/>
      </c>
      <c r="G7" t="inlineStr">
        <is>
          <t>否</t>
        </is>
      </c>
      <c r="H7" t="inlineStr">
        <is>
          <t>2026-04-20</t>
        </is>
      </c>
      <c r="I7" t="inlineStr">
        <is>
          <t>阶段</t>
        </is>
      </c>
      <c r="J7" t="inlineStr">
        <is>
          <t>2026-04-20</t>
        </is>
      </c>
    </row>
    <row r="8">
      <c r="A8" t="n">
        <v>52</v>
      </c>
      <c r="B8">
        <f>'R052-审核测量与绩效管理-阶段'!F4</f>
        <v/>
      </c>
      <c r="C8">
        <f>'R052-审核测量与绩效管理-阶段'!B14</f>
        <v/>
      </c>
      <c r="D8" t="inlineStr">
        <is>
          <t>MPM</t>
        </is>
      </c>
      <c r="E8">
        <f>'R052-审核测量与绩效管理-阶段'!C14</f>
        <v/>
      </c>
      <c r="F8">
        <f>'R052-审核测量与绩效管理-阶段'!F14</f>
        <v/>
      </c>
      <c r="G8" t="inlineStr">
        <is>
          <t>否</t>
        </is>
      </c>
      <c r="H8" t="inlineStr">
        <is>
          <t>2026-04-20</t>
        </is>
      </c>
      <c r="I8" t="inlineStr">
        <is>
          <t>阶段</t>
        </is>
      </c>
      <c r="J8" t="inlineStr">
        <is>
          <t>2026-04-20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2026-08-21T13:54:32Z</dcterms:created>
  <dcterms:modified xmlns:dcterms="http://purl.org/dc/terms/" xmlns:xsi="http://www.w3.org/2001/XMLSchema-instance" xsi:type="dcterms:W3CDTF">2026-08-21T13:54:32Z</dcterms:modified>
</cp:coreProperties>
</file>