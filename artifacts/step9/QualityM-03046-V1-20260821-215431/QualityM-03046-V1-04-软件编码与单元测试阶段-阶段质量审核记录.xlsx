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28-审核项目策划过程" sheetId="3" state="visible" r:id="rId3"/>
    <sheet xmlns:r="http://schemas.openxmlformats.org/officeDocument/2006/relationships" name="R028-审核项目策划过程" sheetId="4" state="visible" r:id="rId4"/>
    <sheet xmlns:r="http://schemas.openxmlformats.org/officeDocument/2006/relationships" name="C029-审核项目监控-双周" sheetId="5" state="visible" r:id="rId5"/>
    <sheet xmlns:r="http://schemas.openxmlformats.org/officeDocument/2006/relationships" name="R029-审核项目监控-双周" sheetId="6" state="visible" r:id="rId6"/>
    <sheet xmlns:r="http://schemas.openxmlformats.org/officeDocument/2006/relationships" name="C030-审核测量与绩效管理-双周" sheetId="7" state="visible" r:id="rId7"/>
    <sheet xmlns:r="http://schemas.openxmlformats.org/officeDocument/2006/relationships" name="R030-审核测量与绩效管理-双周" sheetId="8" state="visible" r:id="rId8"/>
    <sheet xmlns:r="http://schemas.openxmlformats.org/officeDocument/2006/relationships" name="C031-审核配置管理过程-月" sheetId="9" state="visible" r:id="rId9"/>
    <sheet xmlns:r="http://schemas.openxmlformats.org/officeDocument/2006/relationships" name="R031-审核配置管理过程-月" sheetId="10" state="visible" r:id="rId10"/>
    <sheet xmlns:r="http://schemas.openxmlformats.org/officeDocument/2006/relationships" name="C032-审核验证与确认过程" sheetId="11" state="visible" r:id="rId11"/>
    <sheet xmlns:r="http://schemas.openxmlformats.org/officeDocument/2006/relationships" name="R032-审核验证与确认过程" sheetId="12" state="visible" r:id="rId12"/>
    <sheet xmlns:r="http://schemas.openxmlformats.org/officeDocument/2006/relationships" name="C033-审核需求开发与管理过程" sheetId="13" state="visible" r:id="rId13"/>
    <sheet xmlns:r="http://schemas.openxmlformats.org/officeDocument/2006/relationships" name="R033-审核需求开发与管理过程" sheetId="14" state="visible" r:id="rId14"/>
    <sheet xmlns:r="http://schemas.openxmlformats.org/officeDocument/2006/relationships" name="C034-审核配置管理过程-阶段末" sheetId="15" state="visible" r:id="rId15"/>
    <sheet xmlns:r="http://schemas.openxmlformats.org/officeDocument/2006/relationships" name="R034-审核配置管理过程-阶段末" sheetId="16" state="visible" r:id="rId16"/>
    <sheet xmlns:r="http://schemas.openxmlformats.org/officeDocument/2006/relationships" name="C035-审核项目监控-阶段" sheetId="17" state="visible" r:id="rId17"/>
    <sheet xmlns:r="http://schemas.openxmlformats.org/officeDocument/2006/relationships" name="R035-审核项目监控-阶段" sheetId="18" state="visible" r:id="rId18"/>
    <sheet xmlns:r="http://schemas.openxmlformats.org/officeDocument/2006/relationships" name="C036-审核测量与绩效管理-阶段" sheetId="19" state="visible" r:id="rId19"/>
    <sheet xmlns:r="http://schemas.openxmlformats.org/officeDocument/2006/relationships" name="R036-审核测量与绩效管理-阶段" sheetId="20" state="visible" r:id="rId20"/>
    <sheet xmlns:r="http://schemas.openxmlformats.org/officeDocument/2006/relationships" name="C038-相控阵数字样机软件单元测试报告" sheetId="21" state="visible" r:id="rId21"/>
    <sheet xmlns:r="http://schemas.openxmlformats.org/officeDocument/2006/relationships" name="R038-相控阵数字样机软件单元测试报告" sheetId="22" state="visible" r:id="rId22"/>
    <sheet xmlns:r="http://schemas.openxmlformats.org/officeDocument/2006/relationships" name="_计算" sheetId="23" state="hidden" r:id="rId23"/>
  </sheets>
  <definedNames>
    <definedName name="_xlnm._FilterDatabase" localSheetId="0" hidden="1">'审核目录'!$A$4:$D$14</definedName>
    <definedName name="_xlnm.Print_Area" localSheetId="0">'审核目录'!$A$1:$D$14</definedName>
    <definedName name="_xlnm.Print_Titles" localSheetId="1">'阶段质量审核工作报告'!$1:$7</definedName>
    <definedName name="_xlnm.Print_Area" localSheetId="1">'阶段质量审核工作报告'!$A$1:$L$29</definedName>
    <definedName name="_xlnm.Print_Titles" localSheetId="2">'C028-审核项目策划过程'!$1:$6</definedName>
    <definedName name="_xlnm.Print_Area" localSheetId="2">'C028-审核项目策划过程'!$A$1:$L$37</definedName>
    <definedName name="_xlnm.Print_Titles" localSheetId="3">'R028-审核项目策划过程'!$1:$12</definedName>
    <definedName name="_xlnm.Print_Area" localSheetId="3">'R028-审核项目策划过程'!$B$1:$K$17</definedName>
    <definedName name="_xlnm.Print_Titles" localSheetId="4">'C029-审核项目监控-双周'!$1:$6</definedName>
    <definedName name="_xlnm.Print_Area" localSheetId="4">'C029-审核项目监控-双周'!$A$1:$L$45</definedName>
    <definedName name="_xlnm.Print_Titles" localSheetId="5">'R029-审核项目监控-双周'!$1:$12</definedName>
    <definedName name="_xlnm.Print_Area" localSheetId="5">'R029-审核项目监控-双周'!$B$1:$K$17</definedName>
    <definedName name="_xlnm.Print_Titles" localSheetId="6">'C030-审核测量与绩效管理-双周'!$1:$6</definedName>
    <definedName name="_xlnm.Print_Area" localSheetId="6">'C030-审核测量与绩效管理-双周'!$A$1:$L$26</definedName>
    <definedName name="_xlnm.Print_Titles" localSheetId="7">'R030-审核测量与绩效管理-双周'!$1:$12</definedName>
    <definedName name="_xlnm.Print_Area" localSheetId="7">'R030-审核测量与绩效管理-双周'!$B$1:$K$17</definedName>
    <definedName name="_xlnm.Print_Titles" localSheetId="8">'C031-审核配置管理过程-月'!$1:$6</definedName>
    <definedName name="_xlnm.Print_Area" localSheetId="8">'C031-审核配置管理过程-月'!$A$1:$L$33</definedName>
    <definedName name="_xlnm.Print_Titles" localSheetId="9">'R031-审核配置管理过程-月'!$1:$12</definedName>
    <definedName name="_xlnm.Print_Area" localSheetId="9">'R031-审核配置管理过程-月'!$B$1:$K$17</definedName>
    <definedName name="_xlnm.Print_Titles" localSheetId="10">'C032-审核验证与确认过程'!$1:$6</definedName>
    <definedName name="_xlnm.Print_Area" localSheetId="10">'C032-审核验证与确认过程'!$A$1:$L$38</definedName>
    <definedName name="_xlnm.Print_Titles" localSheetId="11">'R032-审核验证与确认过程'!$1:$12</definedName>
    <definedName name="_xlnm.Print_Area" localSheetId="11">'R032-审核验证与确认过程'!$B$1:$K$17</definedName>
    <definedName name="_xlnm.Print_Titles" localSheetId="12">'C033-审核需求开发与管理过程'!$1:$6</definedName>
    <definedName name="_xlnm.Print_Area" localSheetId="12">'C033-审核需求开发与管理过程'!$A$1:$L$41</definedName>
    <definedName name="_xlnm.Print_Titles" localSheetId="13">'R033-审核需求开发与管理过程'!$1:$12</definedName>
    <definedName name="_xlnm.Print_Area" localSheetId="13">'R033-审核需求开发与管理过程'!$B$1:$K$17</definedName>
    <definedName name="_xlnm.Print_Titles" localSheetId="14">'C034-审核配置管理过程-阶段末'!$1:$6</definedName>
    <definedName name="_xlnm.Print_Area" localSheetId="14">'C034-审核配置管理过程-阶段末'!$A$1:$L$33</definedName>
    <definedName name="_xlnm.Print_Titles" localSheetId="15">'R034-审核配置管理过程-阶段末'!$1:$12</definedName>
    <definedName name="_xlnm.Print_Area" localSheetId="15">'R034-审核配置管理过程-阶段末'!$B$1:$K$17</definedName>
    <definedName name="_xlnm.Print_Titles" localSheetId="16">'C035-审核项目监控-阶段'!$1:$6</definedName>
    <definedName name="_xlnm.Print_Area" localSheetId="16">'C035-审核项目监控-阶段'!$A$1:$L$46</definedName>
    <definedName name="_xlnm.Print_Titles" localSheetId="17">'R035-审核项目监控-阶段'!$1:$12</definedName>
    <definedName name="_xlnm.Print_Area" localSheetId="17">'R035-审核项目监控-阶段'!$B$1:$K$18</definedName>
    <definedName name="_xlnm.Print_Titles" localSheetId="18">'C036-审核测量与绩效管理-阶段'!$1:$6</definedName>
    <definedName name="_xlnm.Print_Area" localSheetId="18">'C036-审核测量与绩效管理-阶段'!$A$1:$L$27</definedName>
    <definedName name="_xlnm.Print_Titles" localSheetId="19">'R036-审核测量与绩效管理-阶段'!$1:$12</definedName>
    <definedName name="_xlnm.Print_Area" localSheetId="19">'R036-审核测量与绩效管理-阶段'!$B$1:$K$18</definedName>
    <definedName name="_xlnm.Print_Titles" localSheetId="20">'C038-相控阵数字样机软件单元测试报告'!$1:$6</definedName>
    <definedName name="_xlnm.Print_Area" localSheetId="20">'C038-相控阵数字样机软件单元测试报告'!$A$1:$L$19</definedName>
    <definedName name="_xlnm.Print_Titles" localSheetId="21">'R038-相控阵数字样机软件单元测试报告'!$1:$12</definedName>
    <definedName name="_xlnm.Print_Area" localSheetId="21">'R038-相控阵数字样机软件单元测试报告'!$B$1:$K$17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28-&#23457;&#26680;&#39033;&#30446;&#31574;&#21010;&#36807;&#31243;'!A1" TargetMode="External" Id="rId1"/><Relationship Type="http://schemas.openxmlformats.org/officeDocument/2006/relationships/hyperlink" Target="#'R028-&#23457;&#26680;&#39033;&#30446;&#31574;&#21010;&#36807;&#31243;'!A1" TargetMode="External" Id="rId2"/><Relationship Type="http://schemas.openxmlformats.org/officeDocument/2006/relationships/hyperlink" Target="#'C029-&#23457;&#26680;&#39033;&#30446;&#30417;&#25511;-&#21452;&#21608;'!A1" TargetMode="External" Id="rId3"/><Relationship Type="http://schemas.openxmlformats.org/officeDocument/2006/relationships/hyperlink" Target="#'R029-&#23457;&#26680;&#39033;&#30446;&#30417;&#25511;-&#21452;&#21608;'!A1" TargetMode="External" Id="rId4"/><Relationship Type="http://schemas.openxmlformats.org/officeDocument/2006/relationships/hyperlink" Target="#'C030-&#23457;&#26680;&#27979;&#37327;&#19982;&#32489;&#25928;&#31649;&#29702;-&#21452;&#21608;'!A1" TargetMode="External" Id="rId5"/><Relationship Type="http://schemas.openxmlformats.org/officeDocument/2006/relationships/hyperlink" Target="#'R030-&#23457;&#26680;&#27979;&#37327;&#19982;&#32489;&#25928;&#31649;&#29702;-&#21452;&#21608;'!A1" TargetMode="External" Id="rId6"/><Relationship Type="http://schemas.openxmlformats.org/officeDocument/2006/relationships/hyperlink" Target="#'C031-&#23457;&#26680;&#37197;&#32622;&#31649;&#29702;&#36807;&#31243;-&#26376;'!A1" TargetMode="External" Id="rId7"/><Relationship Type="http://schemas.openxmlformats.org/officeDocument/2006/relationships/hyperlink" Target="#'R031-&#23457;&#26680;&#37197;&#32622;&#31649;&#29702;&#36807;&#31243;-&#26376;'!A1" TargetMode="External" Id="rId8"/><Relationship Type="http://schemas.openxmlformats.org/officeDocument/2006/relationships/hyperlink" Target="#'C032-&#23457;&#26680;&#39564;&#35777;&#19982;&#30830;&#35748;&#36807;&#31243;'!A1" TargetMode="External" Id="rId9"/><Relationship Type="http://schemas.openxmlformats.org/officeDocument/2006/relationships/hyperlink" Target="#'R032-&#23457;&#26680;&#39564;&#35777;&#19982;&#30830;&#35748;&#36807;&#31243;'!A1" TargetMode="External" Id="rId10"/><Relationship Type="http://schemas.openxmlformats.org/officeDocument/2006/relationships/hyperlink" Target="#'C033-&#23457;&#26680;&#38656;&#27714;&#24320;&#21457;&#19982;&#31649;&#29702;&#36807;&#31243;'!A1" TargetMode="External" Id="rId11"/><Relationship Type="http://schemas.openxmlformats.org/officeDocument/2006/relationships/hyperlink" Target="#'R033-&#23457;&#26680;&#38656;&#27714;&#24320;&#21457;&#19982;&#31649;&#29702;&#36807;&#31243;'!A1" TargetMode="External" Id="rId12"/><Relationship Type="http://schemas.openxmlformats.org/officeDocument/2006/relationships/hyperlink" Target="#'C034-&#23457;&#26680;&#37197;&#32622;&#31649;&#29702;&#36807;&#31243;-&#38454;&#27573;&#26411;'!A1" TargetMode="External" Id="rId13"/><Relationship Type="http://schemas.openxmlformats.org/officeDocument/2006/relationships/hyperlink" Target="#'R034-&#23457;&#26680;&#37197;&#32622;&#31649;&#29702;&#36807;&#31243;-&#38454;&#27573;&#26411;'!A1" TargetMode="External" Id="rId14"/><Relationship Type="http://schemas.openxmlformats.org/officeDocument/2006/relationships/hyperlink" Target="#'C035-&#23457;&#26680;&#39033;&#30446;&#30417;&#25511;-&#38454;&#27573;'!A1" TargetMode="External" Id="rId15"/><Relationship Type="http://schemas.openxmlformats.org/officeDocument/2006/relationships/hyperlink" Target="#'R035-&#23457;&#26680;&#39033;&#30446;&#30417;&#25511;-&#38454;&#27573;'!A1" TargetMode="External" Id="rId16"/><Relationship Type="http://schemas.openxmlformats.org/officeDocument/2006/relationships/hyperlink" Target="#'C036-&#23457;&#26680;&#27979;&#37327;&#19982;&#32489;&#25928;&#31649;&#29702;-&#38454;&#27573;'!A1" TargetMode="External" Id="rId17"/><Relationship Type="http://schemas.openxmlformats.org/officeDocument/2006/relationships/hyperlink" Target="#'R036-&#23457;&#26680;&#27979;&#37327;&#19982;&#32489;&#25928;&#31649;&#29702;-&#38454;&#27573;'!A1" TargetMode="External" Id="rId18"/><Relationship Type="http://schemas.openxmlformats.org/officeDocument/2006/relationships/hyperlink" Target="#'C038-&#30456;&#25511;&#38453;&#25968;&#23383;&#26679;&#26426;&#36719;&#20214;&#21333;&#20803;&#27979;&#35797;&#25253;&#21578;'!A1" TargetMode="External" Id="rId19"/><Relationship Type="http://schemas.openxmlformats.org/officeDocument/2006/relationships/hyperlink" Target="#'R038-&#30456;&#25511;&#38453;&#25968;&#23383;&#26679;&#26426;&#36719;&#20214;&#21333;&#20803;&#27979;&#35797;&#25253;&#21578;'!A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阶段：软件编码与单元测试阶段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28</v>
      </c>
      <c r="B5" s="3" t="inlineStr">
        <is>
          <t>审核项目策划过程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29</v>
      </c>
      <c r="B6" s="3" t="inlineStr">
        <is>
          <t>审核项目监控-双周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30</v>
      </c>
      <c r="B7" s="3" t="inlineStr">
        <is>
          <t>审核测量与绩效管理-双周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31</v>
      </c>
      <c r="B8" s="3" t="inlineStr">
        <is>
          <t>审核配置管理过程-月</t>
        </is>
      </c>
      <c r="C8" s="5" t="inlineStr">
        <is>
          <t>打开检查单</t>
        </is>
      </c>
      <c r="D8" s="5" t="inlineStr">
        <is>
          <t>打开审核报告</t>
        </is>
      </c>
    </row>
    <row r="9" ht="18" customHeight="1">
      <c r="A9" s="3" t="n">
        <v>32</v>
      </c>
      <c r="B9" s="3" t="inlineStr">
        <is>
          <t>审核验证与确认过程</t>
        </is>
      </c>
      <c r="C9" s="5" t="inlineStr">
        <is>
          <t>打开检查单</t>
        </is>
      </c>
      <c r="D9" s="5" t="inlineStr">
        <is>
          <t>打开审核报告</t>
        </is>
      </c>
    </row>
    <row r="10" ht="18" customHeight="1">
      <c r="A10" s="3" t="n">
        <v>33</v>
      </c>
      <c r="B10" s="3" t="inlineStr">
        <is>
          <t>审核需求开发与管理过程</t>
        </is>
      </c>
      <c r="C10" s="5" t="inlineStr">
        <is>
          <t>打开检查单</t>
        </is>
      </c>
      <c r="D10" s="5" t="inlineStr">
        <is>
          <t>打开审核报告</t>
        </is>
      </c>
    </row>
    <row r="11" ht="18" customHeight="1">
      <c r="A11" s="3" t="n">
        <v>34</v>
      </c>
      <c r="B11" s="3" t="inlineStr">
        <is>
          <t>审核配置管理过程-阶段末</t>
        </is>
      </c>
      <c r="C11" s="5" t="inlineStr">
        <is>
          <t>打开检查单</t>
        </is>
      </c>
      <c r="D11" s="5" t="inlineStr">
        <is>
          <t>打开审核报告</t>
        </is>
      </c>
    </row>
    <row r="12" ht="18" customHeight="1">
      <c r="A12" s="3" t="n">
        <v>35</v>
      </c>
      <c r="B12" s="3" t="inlineStr">
        <is>
          <t>审核项目监控-阶段</t>
        </is>
      </c>
      <c r="C12" s="5" t="inlineStr">
        <is>
          <t>打开检查单</t>
        </is>
      </c>
      <c r="D12" s="5" t="inlineStr">
        <is>
          <t>打开审核报告</t>
        </is>
      </c>
    </row>
    <row r="13" ht="18" customHeight="1">
      <c r="A13" s="3" t="n">
        <v>36</v>
      </c>
      <c r="B13" s="3" t="inlineStr">
        <is>
          <t>审核测量与绩效管理-阶段</t>
        </is>
      </c>
      <c r="C13" s="5" t="inlineStr">
        <is>
          <t>打开检查单</t>
        </is>
      </c>
      <c r="D13" s="5" t="inlineStr">
        <is>
          <t>打开审核报告</t>
        </is>
      </c>
    </row>
    <row r="14" ht="18" customHeight="1">
      <c r="A14" s="3" t="n">
        <v>38</v>
      </c>
      <c r="B14" s="3" t="inlineStr">
        <is>
          <t>相控阵数字样机软件单元测试报告</t>
        </is>
      </c>
      <c r="C14" s="5" t="inlineStr">
        <is>
          <t>打开检查单</t>
        </is>
      </c>
      <c r="D14" s="5" t="inlineStr">
        <is>
          <t>打开审核报告</t>
        </is>
      </c>
    </row>
  </sheetData>
  <autoFilter ref="A4:D14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  <hyperlink xmlns:r="http://schemas.openxmlformats.org/officeDocument/2006/relationships" ref="C10" r:id="rId11"/>
    <hyperlink xmlns:r="http://schemas.openxmlformats.org/officeDocument/2006/relationships" ref="D10" r:id="rId12"/>
    <hyperlink xmlns:r="http://schemas.openxmlformats.org/officeDocument/2006/relationships" ref="C11" r:id="rId13"/>
    <hyperlink xmlns:r="http://schemas.openxmlformats.org/officeDocument/2006/relationships" ref="D11" r:id="rId14"/>
    <hyperlink xmlns:r="http://schemas.openxmlformats.org/officeDocument/2006/relationships" ref="C12" r:id="rId15"/>
    <hyperlink xmlns:r="http://schemas.openxmlformats.org/officeDocument/2006/relationships" ref="D12" r:id="rId16"/>
    <hyperlink xmlns:r="http://schemas.openxmlformats.org/officeDocument/2006/relationships" ref="C13" r:id="rId17"/>
    <hyperlink xmlns:r="http://schemas.openxmlformats.org/officeDocument/2006/relationships" ref="D13" r:id="rId18"/>
    <hyperlink xmlns:r="http://schemas.openxmlformats.org/officeDocument/2006/relationships" ref="C14" r:id="rId19"/>
    <hyperlink xmlns:r="http://schemas.openxmlformats.org/officeDocument/2006/relationships" ref="D14" r:id="rId20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软件编码与单元测试阶段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2026-02-10 至 2026-03-11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双周汇总：2026-02-24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3" t="n">
        <v>28</v>
      </c>
      <c r="B9" s="3" t="inlineStr">
        <is>
          <t>审核项目策划过程</t>
        </is>
      </c>
      <c r="C9" s="3" t="inlineStr">
        <is>
          <t>2026-02-11</t>
        </is>
      </c>
      <c r="D9" s="3" t="inlineStr">
        <is>
          <t>双周</t>
        </is>
      </c>
      <c r="E9" s="3" t="n"/>
      <c r="F9" s="3" t="inlineStr">
        <is>
          <t>未发现不符合项</t>
        </is>
      </c>
      <c r="G9" s="3" t="n"/>
      <c r="H9" s="3" t="n"/>
      <c r="I9" s="3" t="n"/>
      <c r="J9" s="3" t="n"/>
      <c r="K9" s="3" t="n"/>
      <c r="L9" s="3" t="inlineStr">
        <is>
          <t>未确认</t>
        </is>
      </c>
    </row>
    <row r="10" ht="18" customHeight="1">
      <c r="A10" s="3" t="n">
        <v>29</v>
      </c>
      <c r="B10" s="3" t="inlineStr">
        <is>
          <t>审核项目监控-双周</t>
        </is>
      </c>
      <c r="C10" s="3" t="inlineStr">
        <is>
          <t>2026-02-24</t>
        </is>
      </c>
      <c r="D10" s="3" t="inlineStr">
        <is>
          <t>双周</t>
        </is>
      </c>
      <c r="E10" s="3" t="n"/>
      <c r="F10" s="3" t="inlineStr">
        <is>
          <t>未发现不符合项</t>
        </is>
      </c>
      <c r="G10" s="3" t="n"/>
      <c r="H10" s="3" t="n"/>
      <c r="I10" s="3" t="n"/>
      <c r="J10" s="3" t="n"/>
      <c r="K10" s="3" t="n"/>
      <c r="L10" s="3" t="inlineStr">
        <is>
          <t>未确认</t>
        </is>
      </c>
    </row>
    <row r="11" ht="18" customHeight="1">
      <c r="A11" s="3" t="n">
        <v>30</v>
      </c>
      <c r="B11" s="3" t="inlineStr">
        <is>
          <t>审核测量与绩效管理-双周</t>
        </is>
      </c>
      <c r="C11" s="3" t="inlineStr">
        <is>
          <t>2026-02-24</t>
        </is>
      </c>
      <c r="D11" s="3" t="inlineStr">
        <is>
          <t>双周</t>
        </is>
      </c>
      <c r="E11" s="3" t="n"/>
      <c r="F11" s="3" t="inlineStr">
        <is>
          <t>未发现不符合项</t>
        </is>
      </c>
      <c r="G11" s="3" t="n"/>
      <c r="H11" s="3" t="n"/>
      <c r="I11" s="3" t="n"/>
      <c r="J11" s="3" t="n"/>
      <c r="K11" s="3" t="n"/>
      <c r="L11" s="3" t="inlineStr">
        <is>
          <t>未确认</t>
        </is>
      </c>
    </row>
    <row r="12">
      <c r="A12" s="7" t="inlineStr">
        <is>
          <t>节点统计</t>
        </is>
      </c>
      <c r="B12" s="7" t="n"/>
      <c r="C12" s="7" t="n"/>
      <c r="D12" s="7" t="n"/>
      <c r="E12" s="7" t="inlineStr">
        <is>
          <t>NC总数</t>
        </is>
      </c>
      <c r="F12" s="7">
        <f>COUNTIF(J9:J11,"?*")</f>
        <v/>
      </c>
      <c r="G12" s="7" t="inlineStr">
        <is>
          <t>未关闭</t>
        </is>
      </c>
      <c r="H12" s="7">
        <f>COUNTIF(K9:K11,"否")</f>
        <v/>
      </c>
      <c r="I12" s="7" t="inlineStr">
        <is>
          <t>严重</t>
        </is>
      </c>
      <c r="J12" s="7">
        <f>COUNTIF(J9:J11,"严重")</f>
        <v/>
      </c>
      <c r="K12" s="7" t="n"/>
      <c r="L12" s="7" t="n"/>
    </row>
    <row r="14">
      <c r="A14" s="6" t="inlineStr">
        <is>
          <t>阶段汇总：2026-03-11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18" customHeight="1">
      <c r="A15" s="3" t="n">
        <v>31</v>
      </c>
      <c r="B15" s="3" t="inlineStr">
        <is>
          <t>审核配置管理过程-月</t>
        </is>
      </c>
      <c r="C15" s="3" t="inlineStr">
        <is>
          <t>2026-02-27</t>
        </is>
      </c>
      <c r="D15" s="3" t="inlineStr">
        <is>
          <t>阶段</t>
        </is>
      </c>
      <c r="E15" s="3" t="n"/>
      <c r="F15" s="3" t="inlineStr">
        <is>
          <t>未发现不符合项</t>
        </is>
      </c>
      <c r="G15" s="3" t="n"/>
      <c r="H15" s="3" t="n"/>
      <c r="I15" s="3" t="n"/>
      <c r="J15" s="3" t="n"/>
      <c r="K15" s="3" t="n"/>
      <c r="L15" s="3" t="inlineStr">
        <is>
          <t>未确认</t>
        </is>
      </c>
    </row>
    <row r="16" ht="30" customHeight="1">
      <c r="A16" s="3" t="n">
        <v>32</v>
      </c>
      <c r="B16" s="3">
        <f>'_计算'!B2</f>
        <v/>
      </c>
      <c r="C16" s="3" t="inlineStr">
        <is>
          <t>2026-03-11</t>
        </is>
      </c>
      <c r="D16" s="3" t="inlineStr">
        <is>
          <t>阶段</t>
        </is>
      </c>
      <c r="E16" s="3">
        <f>'_计算'!D2</f>
        <v/>
      </c>
      <c r="F16" s="3">
        <f>'_计算'!E2</f>
        <v/>
      </c>
      <c r="G16" s="3" t="n"/>
      <c r="H16" s="3" t="n"/>
      <c r="I16" s="3" t="n"/>
      <c r="J16" s="3">
        <f>'_计算'!F2</f>
        <v/>
      </c>
      <c r="K16" s="3">
        <f>'_计算'!G2</f>
        <v/>
      </c>
      <c r="L16" s="3" t="inlineStr">
        <is>
          <t>未确认</t>
        </is>
      </c>
    </row>
    <row r="17" ht="30" customHeight="1">
      <c r="A17" s="3" t="n">
        <v>33</v>
      </c>
      <c r="B17" s="3">
        <f>'_计算'!B3</f>
        <v/>
      </c>
      <c r="C17" s="3" t="inlineStr">
        <is>
          <t>2026-03-11</t>
        </is>
      </c>
      <c r="D17" s="3" t="inlineStr">
        <is>
          <t>阶段</t>
        </is>
      </c>
      <c r="E17" s="3">
        <f>'_计算'!D3</f>
        <v/>
      </c>
      <c r="F17" s="3">
        <f>'_计算'!E3</f>
        <v/>
      </c>
      <c r="G17" s="3" t="n"/>
      <c r="H17" s="3" t="n"/>
      <c r="I17" s="3" t="n"/>
      <c r="J17" s="3">
        <f>'_计算'!F3</f>
        <v/>
      </c>
      <c r="K17" s="3">
        <f>'_计算'!G3</f>
        <v/>
      </c>
      <c r="L17" s="3" t="inlineStr">
        <is>
          <t>未确认</t>
        </is>
      </c>
    </row>
    <row r="18" ht="18" customHeight="1">
      <c r="A18" s="3" t="n">
        <v>34</v>
      </c>
      <c r="B18" s="3" t="inlineStr">
        <is>
          <t>审核配置管理过程-阶段末</t>
        </is>
      </c>
      <c r="C18" s="3" t="inlineStr">
        <is>
          <t>2026-03-11</t>
        </is>
      </c>
      <c r="D18" s="3" t="inlineStr">
        <is>
          <t>阶段</t>
        </is>
      </c>
      <c r="E18" s="3" t="n"/>
      <c r="F18" s="3" t="inlineStr">
        <is>
          <t>未发现不符合项</t>
        </is>
      </c>
      <c r="G18" s="3" t="n"/>
      <c r="H18" s="3" t="n"/>
      <c r="I18" s="3" t="n"/>
      <c r="J18" s="3" t="n"/>
      <c r="K18" s="3" t="n"/>
      <c r="L18" s="3" t="inlineStr">
        <is>
          <t>未确认</t>
        </is>
      </c>
    </row>
    <row r="19" ht="30" customHeight="1">
      <c r="A19" s="3" t="n">
        <v>35</v>
      </c>
      <c r="B19" s="3">
        <f>'_计算'!B4</f>
        <v/>
      </c>
      <c r="C19" s="3" t="inlineStr">
        <is>
          <t>2026-03-11</t>
        </is>
      </c>
      <c r="D19" s="3" t="inlineStr">
        <is>
          <t>阶段</t>
        </is>
      </c>
      <c r="E19" s="3">
        <f>'_计算'!D4</f>
        <v/>
      </c>
      <c r="F19" s="3">
        <f>'_计算'!E4</f>
        <v/>
      </c>
      <c r="G19" s="3" t="n"/>
      <c r="H19" s="3" t="n"/>
      <c r="I19" s="3" t="n"/>
      <c r="J19" s="3">
        <f>'_计算'!F4</f>
        <v/>
      </c>
      <c r="K19" s="3">
        <f>'_计算'!G4</f>
        <v/>
      </c>
      <c r="L19" s="3" t="inlineStr">
        <is>
          <t>未确认</t>
        </is>
      </c>
    </row>
    <row r="20" ht="30" customHeight="1">
      <c r="A20" s="3" t="n">
        <v>35</v>
      </c>
      <c r="B20" s="3">
        <f>'_计算'!B5</f>
        <v/>
      </c>
      <c r="C20" s="3" t="inlineStr">
        <is>
          <t>2026-03-11</t>
        </is>
      </c>
      <c r="D20" s="3" t="inlineStr">
        <is>
          <t>阶段</t>
        </is>
      </c>
      <c r="E20" s="3">
        <f>'_计算'!D5</f>
        <v/>
      </c>
      <c r="F20" s="3">
        <f>'_计算'!E5</f>
        <v/>
      </c>
      <c r="G20" s="3" t="n"/>
      <c r="H20" s="3" t="n"/>
      <c r="I20" s="3" t="n"/>
      <c r="J20" s="3">
        <f>'_计算'!F5</f>
        <v/>
      </c>
      <c r="K20" s="3">
        <f>'_计算'!G5</f>
        <v/>
      </c>
      <c r="L20" s="3" t="inlineStr">
        <is>
          <t>未确认</t>
        </is>
      </c>
    </row>
    <row r="21" ht="30" customHeight="1">
      <c r="A21" s="3" t="n">
        <v>36</v>
      </c>
      <c r="B21" s="3">
        <f>'_计算'!B6</f>
        <v/>
      </c>
      <c r="C21" s="3" t="inlineStr">
        <is>
          <t>2026-03-11</t>
        </is>
      </c>
      <c r="D21" s="3" t="inlineStr">
        <is>
          <t>阶段</t>
        </is>
      </c>
      <c r="E21" s="3">
        <f>'_计算'!D6</f>
        <v/>
      </c>
      <c r="F21" s="3">
        <f>'_计算'!E6</f>
        <v/>
      </c>
      <c r="G21" s="3" t="n"/>
      <c r="H21" s="3" t="n"/>
      <c r="I21" s="3" t="n"/>
      <c r="J21" s="3">
        <f>'_计算'!F6</f>
        <v/>
      </c>
      <c r="K21" s="3">
        <f>'_计算'!G6</f>
        <v/>
      </c>
      <c r="L21" s="3" t="inlineStr">
        <is>
          <t>未确认</t>
        </is>
      </c>
    </row>
    <row r="22" ht="30" customHeight="1">
      <c r="A22" s="3" t="n">
        <v>36</v>
      </c>
      <c r="B22" s="3">
        <f>'_计算'!B7</f>
        <v/>
      </c>
      <c r="C22" s="3" t="inlineStr">
        <is>
          <t>2026-03-11</t>
        </is>
      </c>
      <c r="D22" s="3" t="inlineStr">
        <is>
          <t>阶段</t>
        </is>
      </c>
      <c r="E22" s="3">
        <f>'_计算'!D7</f>
        <v/>
      </c>
      <c r="F22" s="3">
        <f>'_计算'!E7</f>
        <v/>
      </c>
      <c r="G22" s="3" t="n"/>
      <c r="H22" s="3" t="n"/>
      <c r="I22" s="3" t="n"/>
      <c r="J22" s="3">
        <f>'_计算'!F7</f>
        <v/>
      </c>
      <c r="K22" s="3">
        <f>'_计算'!G7</f>
        <v/>
      </c>
      <c r="L22" s="3" t="inlineStr">
        <is>
          <t>未确认</t>
        </is>
      </c>
    </row>
    <row r="23" ht="30" customHeight="1">
      <c r="A23" s="3" t="n">
        <v>38</v>
      </c>
      <c r="B23" s="3">
        <f>'_计算'!B8</f>
        <v/>
      </c>
      <c r="C23" s="3" t="inlineStr">
        <is>
          <t>2026-03-11</t>
        </is>
      </c>
      <c r="D23" s="3" t="inlineStr">
        <is>
          <t>阶段</t>
        </is>
      </c>
      <c r="E23" s="3">
        <f>'_计算'!D8</f>
        <v/>
      </c>
      <c r="F23" s="3">
        <f>'_计算'!E8</f>
        <v/>
      </c>
      <c r="G23" s="3" t="n"/>
      <c r="H23" s="3" t="n"/>
      <c r="I23" s="3" t="n"/>
      <c r="J23" s="3">
        <f>'_计算'!F8</f>
        <v/>
      </c>
      <c r="K23" s="3">
        <f>'_计算'!G8</f>
        <v/>
      </c>
      <c r="L23" s="3" t="inlineStr">
        <is>
          <t>未确认</t>
        </is>
      </c>
    </row>
    <row r="24">
      <c r="A24" s="7" t="inlineStr">
        <is>
          <t>节点统计</t>
        </is>
      </c>
      <c r="B24" s="7" t="n"/>
      <c r="C24" s="7" t="n"/>
      <c r="D24" s="7" t="n"/>
      <c r="E24" s="7" t="inlineStr">
        <is>
          <t>NC总数</t>
        </is>
      </c>
      <c r="F24" s="7">
        <f>COUNTIF(J15:J23,"?*")</f>
        <v/>
      </c>
      <c r="G24" s="7" t="inlineStr">
        <is>
          <t>未关闭</t>
        </is>
      </c>
      <c r="H24" s="7">
        <f>COUNTIF(K15:K23,"否")</f>
        <v/>
      </c>
      <c r="I24" s="7" t="inlineStr">
        <is>
          <t>严重</t>
        </is>
      </c>
      <c r="J24" s="7">
        <f>COUNTIF(J15:J23,"严重")</f>
        <v/>
      </c>
      <c r="K24" s="7" t="n"/>
      <c r="L24" s="7" t="n"/>
    </row>
    <row r="26">
      <c r="A26" s="8" t="inlineStr">
        <is>
          <t>阶段汇总统计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7" t="inlineStr">
        <is>
          <t>产品NC总数</t>
        </is>
      </c>
      <c r="B27" s="7">
        <f>COUNTIF('_计算'!D2:D8,"工作产品")</f>
        <v/>
      </c>
      <c r="C27" s="7" t="inlineStr">
        <is>
          <t>过程NC总数</t>
        </is>
      </c>
      <c r="D27" s="7">
        <f>COUNTIFS('_计算'!D2:D8,"&lt;&gt;工作产品",'_计算'!D2:D8,"&lt;&gt;")</f>
        <v/>
      </c>
      <c r="E27" s="7" t="inlineStr">
        <is>
          <t>未关闭NC数</t>
        </is>
      </c>
      <c r="F27" s="7">
        <f>COUNTIF('_计算'!G2:G8,"否")</f>
        <v/>
      </c>
      <c r="G27" s="7" t="inlineStr">
        <is>
          <t>轻微</t>
        </is>
      </c>
      <c r="H27" s="7">
        <f>COUNTIF('_计算'!F2:F8,"轻微")</f>
        <v/>
      </c>
      <c r="I27" s="7" t="inlineStr">
        <is>
          <t>一般</t>
        </is>
      </c>
      <c r="J27" s="7">
        <f>COUNTIF('_计算'!F2:F8,"一般")</f>
        <v/>
      </c>
      <c r="K27" s="7" t="inlineStr">
        <is>
          <t>严重</t>
        </is>
      </c>
      <c r="L27" s="7">
        <f>COUNTIF('_计算'!F2:F8,"严重")</f>
        <v/>
      </c>
    </row>
    <row r="28">
      <c r="A28" s="4" t="inlineStr">
        <is>
          <t>RDM</t>
        </is>
      </c>
      <c r="B28" s="4" t="inlineStr">
        <is>
          <t>PP</t>
        </is>
      </c>
      <c r="C28" s="4" t="inlineStr">
        <is>
          <t>PMC</t>
        </is>
      </c>
      <c r="D28" s="4" t="inlineStr">
        <is>
          <t>CM</t>
        </is>
      </c>
      <c r="E28" s="4" t="inlineStr">
        <is>
          <t>MT</t>
        </is>
      </c>
      <c r="F28" s="4" t="inlineStr">
        <is>
          <t>MPM</t>
        </is>
      </c>
      <c r="G28" s="4" t="inlineStr">
        <is>
          <t>VV</t>
        </is>
      </c>
      <c r="H28" s="4" t="inlineStr">
        <is>
          <t>LD</t>
        </is>
      </c>
      <c r="I28" s="4" t="inlineStr">
        <is>
          <t>II</t>
        </is>
      </c>
      <c r="J28" s="4" t="inlineStr">
        <is>
          <t>工作产品</t>
        </is>
      </c>
      <c r="K28" s="4" t="inlineStr">
        <is>
          <t>总计</t>
        </is>
      </c>
    </row>
    <row r="29">
      <c r="A29" s="4">
        <f>COUNTIF('_计算'!D2:D8,"RDM")</f>
        <v/>
      </c>
      <c r="B29" s="4">
        <f>COUNTIF('_计算'!D2:D8,"PP")</f>
        <v/>
      </c>
      <c r="C29" s="4">
        <f>COUNTIF('_计算'!D2:D8,"PMC")</f>
        <v/>
      </c>
      <c r="D29" s="4">
        <f>COUNTIF('_计算'!D2:D8,"CM")</f>
        <v/>
      </c>
      <c r="E29" s="4">
        <f>COUNTIF('_计算'!D2:D8,"MT")</f>
        <v/>
      </c>
      <c r="F29" s="4">
        <f>COUNTIF('_计算'!D2:D8,"MPM")</f>
        <v/>
      </c>
      <c r="G29" s="4">
        <f>COUNTIF('_计算'!D2:D8,"VV")</f>
        <v/>
      </c>
      <c r="H29" s="4">
        <f>COUNTIF('_计算'!D2:D8,"LD")</f>
        <v/>
      </c>
      <c r="I29" s="4">
        <f>COUNTIF('_计算'!D2:D8,"II")</f>
        <v/>
      </c>
      <c r="J29" s="4">
        <f>COUNTIF('_计算'!D2:D8,"工作产品")</f>
        <v/>
      </c>
      <c r="K29" s="4">
        <f>SUM(A29:J29)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8">
    <mergeCell ref="F9:I9"/>
    <mergeCell ref="I4:L4"/>
    <mergeCell ref="A26:L26"/>
    <mergeCell ref="A2:L2"/>
    <mergeCell ref="C3:F3"/>
    <mergeCell ref="F11:I11"/>
    <mergeCell ref="A8:L8"/>
    <mergeCell ref="A14:L14"/>
    <mergeCell ref="F16:I16"/>
    <mergeCell ref="A24:D24"/>
    <mergeCell ref="F19:I19"/>
    <mergeCell ref="F10:I10"/>
    <mergeCell ref="A3:B3"/>
    <mergeCell ref="G3:H3"/>
    <mergeCell ref="C4:F4"/>
    <mergeCell ref="F15:I15"/>
    <mergeCell ref="F21:I21"/>
    <mergeCell ref="F20:I20"/>
    <mergeCell ref="A4:B4"/>
    <mergeCell ref="G4:H4"/>
    <mergeCell ref="F18:I18"/>
    <mergeCell ref="F17:I17"/>
    <mergeCell ref="I3:L3"/>
    <mergeCell ref="A12:D12"/>
    <mergeCell ref="A1:L1"/>
    <mergeCell ref="A6:L6"/>
    <mergeCell ref="F23:I23"/>
    <mergeCell ref="F22:I22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项目策划检查单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编号：ZDPX-03046/0.0-QA-检查单-028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审核项目策划过程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是否对软件产品进行了标识并记录？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是否为软件项目选择了生存周期模型，并说明了理由？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是否对标准过程进行了裁剪，确定了软件项目的过程？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是否生成工作分解结构并记录？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是否进行了软件工作产品规模估计？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是否进行了工作量/成本估计？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所采用的估计方法是否按正确步骤实施？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估算结果是否形成了估算报告？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是否记录了估计的假设数据及假设的依据？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是否明确并记录了关键路径、任务参与方、利益相关方、资源需求等进度安排依据？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11*</t>
        </is>
      </c>
      <c r="B18" s="3" t="inlineStr">
        <is>
          <t>是否依据估算结果进行了进度安排？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是否定义了软件项目的里程碑？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是否明确了软件开发各阶段的活动内容？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是否进行了风险识别，确定其优先级及防范措施并写入风险列表？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是否描述了对关键需求的处理策划？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是否对项目监控活动进行了策划？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是否标识了项目过程资产，并制定了资产管理计划？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是否标识了任务所需资源（劳动力、设施和方法等），并制定了项目资源计划？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是否分析了项目人员能力要求，并制定了项目培训计划？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是否标识了利益相关方，并制定了利益方参与计划？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21*</t>
        </is>
      </c>
      <c r="B28" s="3" t="inlineStr">
        <is>
          <t>软件开发计划是否进行了评审？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22*</t>
        </is>
      </c>
      <c r="B29" s="3" t="inlineStr">
        <is>
          <t>软件开发计划是否通过了审批？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</t>
        </is>
      </c>
      <c r="B30" s="3" t="inlineStr">
        <is>
          <t>审批后的软件开发计划是否进行了发布？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24*</t>
        </is>
      </c>
      <c r="B31" s="3" t="inlineStr">
        <is>
          <t>每个阶段是否进行了详细策划？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</t>
        </is>
      </c>
      <c r="B32" s="3" t="inlineStr">
        <is>
          <t>详细策划有无留存相关记录？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26</t>
        </is>
      </c>
      <c r="B33" s="3" t="inlineStr">
        <is>
          <t>阶段详细策划的结果是否通知到相关项目组成员，以获得对阶段详细计划的承诺？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5">
      <c r="A35" s="7" t="inlineStr">
        <is>
          <t>不符合项问题明细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4" t="inlineStr">
        <is>
          <t>问题ID</t>
        </is>
      </c>
      <c r="B36" s="4" t="inlineStr">
        <is>
          <t>检查项</t>
        </is>
      </c>
      <c r="C36" s="4" t="inlineStr">
        <is>
          <t>问题描述</t>
        </is>
      </c>
      <c r="D36" s="4" t="inlineStr"/>
      <c r="E36" s="4" t="inlineStr"/>
      <c r="F36" s="4" t="inlineStr">
        <is>
          <t>严重程度</t>
        </is>
      </c>
      <c r="G36" s="4" t="inlineStr">
        <is>
          <t>责任人</t>
        </is>
      </c>
      <c r="H36" s="4" t="inlineStr">
        <is>
          <t>提交日期</t>
        </is>
      </c>
      <c r="I36" s="4" t="inlineStr">
        <is>
          <t>计划关闭日期</t>
        </is>
      </c>
      <c r="J36" s="4" t="inlineStr">
        <is>
          <t>纠正措施</t>
        </is>
      </c>
      <c r="K36" s="4" t="inlineStr"/>
      <c r="L36" s="4" t="inlineStr">
        <is>
          <t>关闭</t>
        </is>
      </c>
    </row>
    <row r="37">
      <c r="A37" s="3" t="inlineStr">
        <is>
          <t>本次审核未发现不符合项。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B16:F16"/>
    <mergeCell ref="K24:L24"/>
    <mergeCell ref="B25:F25"/>
    <mergeCell ref="K15:L15"/>
    <mergeCell ref="K33:L33"/>
    <mergeCell ref="A37:L37"/>
    <mergeCell ref="K9:L9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35:L35"/>
    <mergeCell ref="J4:K4"/>
    <mergeCell ref="B29:F29"/>
    <mergeCell ref="K12:L12"/>
    <mergeCell ref="K8:L8"/>
    <mergeCell ref="B10:F10"/>
    <mergeCell ref="B28:F28"/>
    <mergeCell ref="B19:F19"/>
    <mergeCell ref="K27:L27"/>
    <mergeCell ref="C3:E3"/>
    <mergeCell ref="K23:L23"/>
    <mergeCell ref="B26:F26"/>
    <mergeCell ref="K14:L14"/>
    <mergeCell ref="B9:F9"/>
    <mergeCell ref="K17:L17"/>
    <mergeCell ref="H3:I3"/>
    <mergeCell ref="A4:B4"/>
    <mergeCell ref="B30:F30"/>
    <mergeCell ref="J3:K3"/>
    <mergeCell ref="B24:F24"/>
    <mergeCell ref="B20:F20"/>
    <mergeCell ref="B15:F15"/>
    <mergeCell ref="B33:F33"/>
    <mergeCell ref="A1:L1"/>
    <mergeCell ref="K10:L10"/>
    <mergeCell ref="K28:L28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编号：ZDPX-03046/0.0-QA-审核报告-028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审核项目策划过程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ZDPX-03046/0.0-QA-检查单-028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本次审核依据《项目策划检查单》实施。经审核，未发现不符合项。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编号：ZDPX-03046/0.0-QA-检查单-029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审核项目监控-双周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>
      <c r="A45" s="3" t="inlineStr">
        <is>
          <t>本次审核未发现不符合项。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3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A1:L1"/>
    <mergeCell ref="A45:L45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审核项目监控-双周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ZDPX-03046/0.0-QA-检查单-029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审核测量与绩效管理-双周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>
      <c r="A26" s="3" t="inlineStr">
        <is>
          <t>本次审核未发现不符合项。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5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A26:L26"/>
    <mergeCell ref="B11:F11"/>
    <mergeCell ref="B8:F8"/>
    <mergeCell ref="B14:F14"/>
    <mergeCell ref="K22:L22"/>
    <mergeCell ref="A3:B3"/>
    <mergeCell ref="B17:F17"/>
    <mergeCell ref="B13:F13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编号：ZDPX-03046/0.0-QA-审核报告-030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审核测量与绩效管理-双周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2026-02-24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ZDPX-03046/0.0-QA-检查单-030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审核配置管理过程-月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审核配置管理过程-月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2026-02-27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 ht="30" customHeight="1">
      <c r="A38" s="3" t="n">
        <v>35</v>
      </c>
      <c r="B38" s="3" t="inlineStr">
        <is>
          <t>5</t>
        </is>
      </c>
      <c r="C38" s="3" t="inlineStr">
        <is>
          <t>相关工作产品未完整覆盖本检查项要求的必要内容和适用场景，当前结果不能支撑该项要求已经全部落实。</t>
        </is>
      </c>
      <c r="D38" s="3" t="n"/>
      <c r="E38" s="3" t="n"/>
      <c r="F38" s="3" t="inlineStr">
        <is>
          <t>一般</t>
        </is>
      </c>
      <c r="G38" s="3" t="inlineStr">
        <is>
          <t>赵要浦</t>
        </is>
      </c>
      <c r="H38" s="3" t="inlineStr">
        <is>
          <t>2026-03-11</t>
        </is>
      </c>
      <c r="I38" s="3" t="inlineStr">
        <is>
          <t>2026-03-11</t>
        </is>
      </c>
      <c r="J38" s="3" t="inlineStr">
        <is>
          <t>补齐遗漏内容和适用场景，核对相关输入后组织复核，并保留复核结论。</t>
        </is>
      </c>
      <c r="K38" s="3" t="n"/>
      <c r="L38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8">
    <mergeCell ref="K16:L16"/>
    <mergeCell ref="F4:G4"/>
    <mergeCell ref="K30:L30"/>
    <mergeCell ref="K25:L25"/>
    <mergeCell ref="A7:L7"/>
    <mergeCell ref="K34:L34"/>
    <mergeCell ref="B16:F16"/>
    <mergeCell ref="K24:L24"/>
    <mergeCell ref="J38:K38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C38:E38"/>
    <mergeCell ref="A20:L20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'C032-审核验证与确认过程'!C38</f>
        <v/>
      </c>
      <c r="D13" s="3" t="n"/>
      <c r="E13" s="3" t="n"/>
      <c r="F13" s="3">
        <f>'C032-审核验证与确认过程'!F38</f>
        <v/>
      </c>
      <c r="G13" s="3">
        <f>'C032-审核验证与确认过程'!G38</f>
        <v/>
      </c>
      <c r="H13" s="3">
        <f>'C032-审核验证与确认过程'!H38</f>
        <v/>
      </c>
      <c r="I13" s="3">
        <f>'C032-审核验证与确认过程'!I38</f>
        <v/>
      </c>
      <c r="J13" s="3">
        <f>'C032-审核验证与确认过程'!J38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需求开发与管理检查单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编号：ZDPX-03046/0.0-QA-检查单-033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审核需求开发与管理过程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需求开发与确认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30" customHeight="1">
      <c r="A8" s="3" t="inlineStr">
        <is>
          <t>1*</t>
        </is>
      </c>
      <c r="B8" s="3" t="inlineStr">
        <is>
          <t>是否对顾客需求进行了开发并编制了顾客需求文档？（技术协议、软件研制任务书初稿、顾客需求列表等）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是否明确了本项目的需求提供者？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</t>
        </is>
      </c>
      <c r="B10" s="3" t="inlineStr">
        <is>
          <t>对文档化的初始顾客需求，是否组织了需求研讨？ （软件研制任务书的研讨、技术协议的研讨等）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需求提供者及其他利益相关方有无参加顾客需求研讨？研讨活动有无留存记录？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30" customHeight="1">
      <c r="A12" s="3" t="inlineStr">
        <is>
          <t>5*</t>
        </is>
      </c>
      <c r="B12" s="3" t="inlineStr">
        <is>
          <t>需求提供者、利益相关方和项目参与者对顾客需求有无达成共识？项目参与者对顾客需求有无作出承诺？（软件研制任务书的评审、合同流转签署等）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30" customHeight="1">
      <c r="A13" s="3" t="inlineStr">
        <is>
          <t>6*</t>
        </is>
      </c>
      <c r="B13" s="3" t="inlineStr">
        <is>
          <t>有无对系统或软件的运行方案和场景进行开发和定义，并体现在相应的文档中？（系统规格、软件需规、技术方案、运行方案等）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有无和利益相关方一起对运行方案和场景进行评审？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产品和产品部件需求开发是否以顾客需求或系统分配需求（功能基线）作为输入？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30" customHeight="1">
      <c r="A16" s="3" t="inlineStr">
        <is>
          <t>9</t>
        </is>
      </c>
      <c r="B16" s="3" t="inlineStr">
        <is>
          <t>对产品和产品部件需求的开发，除功能需求外，有无包含性能、接口、可靠性、安全性等非功能需求的开发？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产品和产品部件需求开发的结果是否文档化？（系统规格、软件需规）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30" customHeight="1">
      <c r="A18" s="3" t="inlineStr">
        <is>
          <t>11*</t>
        </is>
      </c>
      <c r="B18" s="3" t="inlineStr">
        <is>
          <t>有无对需求的必要性和充分性进行分析，并与利益相关方一起确认需求？（系统规格、软件需规的评审）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是否以通过评审、批准的软件需求规格说明作为软件设计的依据？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软件设计结果是否文档化？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软件设计说明是否通过评审？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是否以通过评审、批准的软件设计说明作为编码的依据？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16*</t>
        </is>
      </c>
      <c r="B23" s="3" t="inlineStr">
        <is>
          <t>源代码是否通过了各级测试？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>
      <c r="A24" s="6" t="inlineStr">
        <is>
          <t>需求管理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3" t="inlineStr">
        <is>
          <t>17*</t>
        </is>
      </c>
      <c r="B25" s="3" t="inlineStr">
        <is>
          <t>软件研制任务书评审通过后，是否建立了功能基线？</t>
        </is>
      </c>
      <c r="C25" s="3" t="n"/>
      <c r="D25" s="3" t="n"/>
      <c r="E25" s="3" t="n"/>
      <c r="F25" s="3" t="n"/>
      <c r="G25" s="3" t="n"/>
      <c r="H25" s="3" t="inlineStr">
        <is>
          <t>✓</t>
        </is>
      </c>
      <c r="I25" s="3" t="n"/>
      <c r="J25" s="3" t="inlineStr">
        <is>
          <t>严重</t>
        </is>
      </c>
      <c r="K25" s="3" t="inlineStr">
        <is>
          <t>必要内容覆盖不完整</t>
        </is>
      </c>
      <c r="L25" s="3" t="n"/>
    </row>
    <row r="26" ht="18" customHeight="1">
      <c r="A26" s="3" t="inlineStr">
        <is>
          <t>18*</t>
        </is>
      </c>
      <c r="B26" s="3" t="inlineStr">
        <is>
          <t>软件需规评审通过后，是否建立了分配基线？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19*</t>
        </is>
      </c>
      <c r="B27" s="3" t="inlineStr">
        <is>
          <t>是否按照体系规定的追踪关系，在生成的各文档中都填写了正向和逆向追踪表。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30" customHeight="1">
      <c r="A28" s="3" t="inlineStr">
        <is>
          <t>20</t>
        </is>
      </c>
      <c r="B28" s="3" t="inlineStr">
        <is>
          <t>项目负责人发现需求管理问题时，是否依据《项目监控过程》的要求填写了“项目问题跟踪表”。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21</t>
        </is>
      </c>
      <c r="B29" s="3" t="inlineStr">
        <is>
          <t>发现的需求管理问题是否在项目工作例会上通报，并跟踪直至问题关闭。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22</t>
        </is>
      </c>
      <c r="B30" s="3" t="inlineStr">
        <is>
          <t>项目负责人是否在项目阶段总结、里程碑评审前形成需求管理情况工作报告？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23*</t>
        </is>
      </c>
      <c r="B31" s="3" t="inlineStr">
        <is>
          <t>顾客需求的变更是否得到合同甲方或用户的认可？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24*</t>
        </is>
      </c>
      <c r="B32" s="3" t="inlineStr">
        <is>
          <t>需求发生变更时，是否填写了变更申请单，说明了需变更的内容并进行了影响域分析？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25*</t>
        </is>
      </c>
      <c r="B33" s="3" t="inlineStr">
        <is>
          <t>变更申请是否经过了评估，并得到了批准？批准的权限是否正确？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26</t>
        </is>
      </c>
      <c r="B34" s="3" t="inlineStr">
        <is>
          <t>需求发生变更时，是否更新了受影响的各项工作产品？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27</t>
        </is>
      </c>
      <c r="B35" s="3" t="inlineStr">
        <is>
          <t>需求变更完成后，是否通过评审、测试等方式对变更情况进行确认，并填写了变更报告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28</t>
        </is>
      </c>
      <c r="B36" s="3" t="inlineStr">
        <is>
          <t>需求变更完成后是否更新了受控库中的功能基线或分配基线并发布？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29*</t>
        </is>
      </c>
      <c r="B37" s="3" t="inlineStr">
        <is>
          <t>当变更影响对外承诺时，是否由公司软件配置控制委员会进行了审批？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9">
      <c r="A39" s="7" t="inlineStr">
        <is>
          <t>不符合项问题明细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4" t="inlineStr">
        <is>
          <t>问题ID</t>
        </is>
      </c>
      <c r="B40" s="4" t="inlineStr">
        <is>
          <t>检查项</t>
        </is>
      </c>
      <c r="C40" s="4" t="inlineStr">
        <is>
          <t>问题描述</t>
        </is>
      </c>
      <c r="D40" s="4" t="inlineStr"/>
      <c r="E40" s="4" t="inlineStr"/>
      <c r="F40" s="4" t="inlineStr">
        <is>
          <t>严重程度</t>
        </is>
      </c>
      <c r="G40" s="4" t="inlineStr">
        <is>
          <t>责任人</t>
        </is>
      </c>
      <c r="H40" s="4" t="inlineStr">
        <is>
          <t>提交日期</t>
        </is>
      </c>
      <c r="I40" s="4" t="inlineStr">
        <is>
          <t>计划关闭日期</t>
        </is>
      </c>
      <c r="J40" s="4" t="inlineStr">
        <is>
          <t>纠正措施</t>
        </is>
      </c>
      <c r="K40" s="4" t="inlineStr"/>
      <c r="L40" s="4" t="inlineStr">
        <is>
          <t>关闭</t>
        </is>
      </c>
    </row>
    <row r="41" ht="30" customHeight="1">
      <c r="A41" s="3" t="n">
        <v>36</v>
      </c>
      <c r="B41" s="3" t="inlineStr">
        <is>
          <t>17</t>
        </is>
      </c>
      <c r="C41" s="3" t="inlineStr">
        <is>
          <t>相关工作产品未完整覆盖本检查项要求的必要内容和适用场景，当前结果不能支撑该项要求已经全部落实。</t>
        </is>
      </c>
      <c r="D41" s="3" t="n"/>
      <c r="E41" s="3" t="n"/>
      <c r="F41" s="3" t="inlineStr">
        <is>
          <t>严重</t>
        </is>
      </c>
      <c r="G41" s="3" t="inlineStr">
        <is>
          <t>赵要浦</t>
        </is>
      </c>
      <c r="H41" s="3" t="inlineStr">
        <is>
          <t>2026-03-11</t>
        </is>
      </c>
      <c r="I41" s="3" t="inlineStr">
        <is>
          <t>2026-03-11</t>
        </is>
      </c>
      <c r="J41" s="3" t="inlineStr">
        <is>
          <t>补齐遗漏内容和适用场景，核对相关输入后组织复核，并保留复核结论。</t>
        </is>
      </c>
      <c r="K41" s="3" t="n"/>
      <c r="L41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5">
    <mergeCell ref="K16:L16"/>
    <mergeCell ref="F4:G4"/>
    <mergeCell ref="K30:L30"/>
    <mergeCell ref="K25:L25"/>
    <mergeCell ref="A7:L7"/>
    <mergeCell ref="K34:L34"/>
    <mergeCell ref="C41:E41"/>
    <mergeCell ref="B16:F16"/>
    <mergeCell ref="B25:F25"/>
    <mergeCell ref="K15:L15"/>
    <mergeCell ref="K33:L33"/>
    <mergeCell ref="K9:L9"/>
    <mergeCell ref="B31:F31"/>
    <mergeCell ref="H4:I4"/>
    <mergeCell ref="B22:F22"/>
    <mergeCell ref="K36:L36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K35:L35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34:F34"/>
    <mergeCell ref="B10:F10"/>
    <mergeCell ref="B28:F28"/>
    <mergeCell ref="B19:F19"/>
    <mergeCell ref="B37:F37"/>
    <mergeCell ref="K27:L27"/>
    <mergeCell ref="J41:K41"/>
    <mergeCell ref="C3:E3"/>
    <mergeCell ref="K23:L23"/>
    <mergeCell ref="B26:F26"/>
    <mergeCell ref="K14:L14"/>
    <mergeCell ref="A39:L39"/>
    <mergeCell ref="B9:F9"/>
    <mergeCell ref="K17:L17"/>
    <mergeCell ref="H3:I3"/>
    <mergeCell ref="A4:B4"/>
    <mergeCell ref="A24:L24"/>
    <mergeCell ref="J3:K3"/>
    <mergeCell ref="B30:F30"/>
    <mergeCell ref="B20:F20"/>
    <mergeCell ref="B15:F15"/>
    <mergeCell ref="B33:F33"/>
    <mergeCell ref="A1:L1"/>
    <mergeCell ref="K10:L10"/>
    <mergeCell ref="K28:L28"/>
    <mergeCell ref="C4:E4"/>
    <mergeCell ref="K19:L19"/>
    <mergeCell ref="K37:L37"/>
    <mergeCell ref="B36:F36"/>
    <mergeCell ref="B32:F32"/>
    <mergeCell ref="K13:L13"/>
    <mergeCell ref="K18:L18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编号：ZDPX-03046/0.0-QA-审核报告-033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审核需求开发与管理过程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ZDPX-03046/0.0-QA-检查单-033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本次审核依据《需求开发与管理检查单》实施。经审核，发现1个不符合项。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'C033-审核需求开发与管理过程'!C41</f>
        <v/>
      </c>
      <c r="D13" s="3" t="n"/>
      <c r="E13" s="3" t="n"/>
      <c r="F13" s="3">
        <f>'C033-审核需求开发与管理过程'!F41</f>
        <v/>
      </c>
      <c r="G13" s="3">
        <f>'C033-审核需求开发与管理过程'!G41</f>
        <v/>
      </c>
      <c r="H13" s="3">
        <f>'C033-审核需求开发与管理过程'!H41</f>
        <v/>
      </c>
      <c r="I13" s="3">
        <f>'C033-审核需求开发与管理过程'!I41</f>
        <v/>
      </c>
      <c r="J13" s="3">
        <f>'C033-审核需求开发与管理过程'!J41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编号：ZDPX-03046/0.0-QA-检查单-034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审核配置管理过程-阶段末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>
      <c r="A33" s="3" t="inlineStr">
        <is>
          <t>本次审核未发现不符合项。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9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A33:L33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B9:F9"/>
    <mergeCell ref="K17:L17"/>
    <mergeCell ref="H3:I3"/>
    <mergeCell ref="A4:B4"/>
    <mergeCell ref="J3:K3"/>
    <mergeCell ref="B24:F24"/>
    <mergeCell ref="B20:F20"/>
    <mergeCell ref="B15:F15"/>
    <mergeCell ref="A1:L1"/>
    <mergeCell ref="K10:L10"/>
    <mergeCell ref="K28:L28"/>
    <mergeCell ref="C4:E4"/>
    <mergeCell ref="K19:L19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编号：ZDPX-03046/0.0-QA-审核报告-034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审核配置管理过程-阶段末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ZDPX-03046/0.0-QA-检查单-034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编号：ZDPX-03046/0.0-QA-检查单-035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n"/>
      <c r="H24" s="3" t="inlineStr">
        <is>
          <t>✓</t>
        </is>
      </c>
      <c r="I24" s="3" t="n"/>
      <c r="J24" s="3" t="inlineStr">
        <is>
          <t>一般</t>
        </is>
      </c>
      <c r="K24" s="3" t="inlineStr">
        <is>
          <t>必要内容覆盖不完整</t>
        </is>
      </c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n"/>
      <c r="H34" s="3" t="inlineStr">
        <is>
          <t>✓</t>
        </is>
      </c>
      <c r="I34" s="3" t="n"/>
      <c r="J34" s="3" t="inlineStr">
        <is>
          <t>一般</t>
        </is>
      </c>
      <c r="K34" s="3" t="inlineStr">
        <is>
          <t>必要内容覆盖不完整</t>
        </is>
      </c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 ht="30" customHeight="1">
      <c r="A45" s="3" t="n">
        <v>37</v>
      </c>
      <c r="B45" s="3" t="inlineStr">
        <is>
          <t>17</t>
        </is>
      </c>
      <c r="C45" s="3" t="inlineStr">
        <is>
          <t>相关工作产品未完整覆盖本检查项要求的必要内容和适用场景，当前结果不能支撑该项要求已经全部落实。</t>
        </is>
      </c>
      <c r="D45" s="3" t="n"/>
      <c r="E45" s="3" t="n"/>
      <c r="F45" s="3" t="inlineStr">
        <is>
          <t>一般</t>
        </is>
      </c>
      <c r="G45" s="3" t="inlineStr">
        <is>
          <t>赵要浦</t>
        </is>
      </c>
      <c r="H45" s="3" t="inlineStr">
        <is>
          <t>2026-03-11</t>
        </is>
      </c>
      <c r="I45" s="3" t="inlineStr">
        <is>
          <t>2026-03-11</t>
        </is>
      </c>
      <c r="J45" s="3" t="inlineStr">
        <is>
          <t>补齐遗漏内容和适用场景，核对相关输入后组织复核，并保留复核结论。</t>
        </is>
      </c>
      <c r="K45" s="3" t="n"/>
      <c r="L45" s="3" t="inlineStr">
        <is>
          <t>否</t>
        </is>
      </c>
    </row>
    <row r="46" ht="30" customHeight="1">
      <c r="A46" s="3" t="n">
        <v>38</v>
      </c>
      <c r="B46" s="3" t="inlineStr">
        <is>
          <t>27</t>
        </is>
      </c>
      <c r="C46" s="3" t="inlineStr">
        <is>
          <t>相关工作产品未完整覆盖本检查项要求的必要内容和适用场景，当前结果不能支撑该项要求已经全部落实。</t>
        </is>
      </c>
      <c r="D46" s="3" t="n"/>
      <c r="E46" s="3" t="n"/>
      <c r="F46" s="3" t="inlineStr">
        <is>
          <t>一般</t>
        </is>
      </c>
      <c r="G46" s="3" t="inlineStr">
        <is>
          <t>赵要浦</t>
        </is>
      </c>
      <c r="H46" s="3" t="inlineStr">
        <is>
          <t>2026-03-11</t>
        </is>
      </c>
      <c r="I46" s="3" t="inlineStr">
        <is>
          <t>2026-03-11</t>
        </is>
      </c>
      <c r="J46" s="3" t="inlineStr">
        <is>
          <t>补齐遗漏内容和适用场景，核对相关输入后组织复核，并保留复核结论。</t>
        </is>
      </c>
      <c r="K46" s="3" t="n"/>
      <c r="L46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6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5:K45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C46:E46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J46:K46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C45:E45"/>
    <mergeCell ref="A1:L1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编号：ZDPX-03046/0.0-QA-审核报告-035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ZDPX-03046/0.0-QA-检查单-035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'C035-审核项目监控-阶段'!C45</f>
        <v/>
      </c>
      <c r="D13" s="3" t="n"/>
      <c r="E13" s="3" t="n"/>
      <c r="F13" s="3">
        <f>'C035-审核项目监控-阶段'!F45</f>
        <v/>
      </c>
      <c r="G13" s="3">
        <f>'C035-审核项目监控-阶段'!G45</f>
        <v/>
      </c>
      <c r="H13" s="3">
        <f>'C035-审核项目监控-阶段'!H45</f>
        <v/>
      </c>
      <c r="I13" s="3">
        <f>'C035-审核项目监控-阶段'!I45</f>
        <v/>
      </c>
      <c r="J13" s="3">
        <f>'C035-审核项目监控-阶段'!J45</f>
        <v/>
      </c>
      <c r="K13" s="3" t="n"/>
    </row>
    <row r="14" ht="30" customHeight="1">
      <c r="B14" s="3" t="n">
        <v>2</v>
      </c>
      <c r="C14" s="3">
        <f>'C035-审核项目监控-阶段'!C46</f>
        <v/>
      </c>
      <c r="D14" s="3" t="n"/>
      <c r="E14" s="3" t="n"/>
      <c r="F14" s="3">
        <f>'C035-审核项目监控-阶段'!F46</f>
        <v/>
      </c>
      <c r="G14" s="3">
        <f>'C035-审核项目监控-阶段'!G46</f>
        <v/>
      </c>
      <c r="H14" s="3">
        <f>'C035-审核项目监控-阶段'!H46</f>
        <v/>
      </c>
      <c r="I14" s="3">
        <f>'C035-审核项目监控-阶段'!I46</f>
        <v/>
      </c>
      <c r="J14" s="3">
        <f>'C035-审核项目监控-阶段'!J46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n"/>
      <c r="H15" s="3" t="inlineStr">
        <is>
          <t>✓</t>
        </is>
      </c>
      <c r="I15" s="3" t="n"/>
      <c r="J15" s="3" t="inlineStr">
        <is>
          <t>一般</t>
        </is>
      </c>
      <c r="K15" s="3" t="inlineStr">
        <is>
          <t>必要内容覆盖不完整</t>
        </is>
      </c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 ht="30" customHeight="1">
      <c r="A26" s="3" t="n">
        <v>39</v>
      </c>
      <c r="B26" s="3" t="inlineStr">
        <is>
          <t>7</t>
        </is>
      </c>
      <c r="C26" s="3" t="inlineStr">
        <is>
          <t>相关工作产品未完整覆盖本检查项要求的必要内容和适用场景，当前结果不能支撑该项要求已经全部落实。</t>
        </is>
      </c>
      <c r="D26" s="3" t="n"/>
      <c r="E26" s="3" t="n"/>
      <c r="F26" s="3" t="inlineStr">
        <is>
          <t>一般</t>
        </is>
      </c>
      <c r="G26" s="3" t="inlineStr">
        <is>
          <t>赵要浦</t>
        </is>
      </c>
      <c r="H26" s="3" t="inlineStr">
        <is>
          <t>2026-03-11</t>
        </is>
      </c>
      <c r="I26" s="3" t="inlineStr">
        <is>
          <t>2026-03-11</t>
        </is>
      </c>
      <c r="J26" s="3" t="inlineStr">
        <is>
          <t>补齐遗漏内容和适用场景，核对相关输入后组织复核，并保留复核结论。</t>
        </is>
      </c>
      <c r="K26" s="3" t="n"/>
      <c r="L26" s="3" t="inlineStr">
        <is>
          <t>否</t>
        </is>
      </c>
    </row>
    <row r="27" ht="30" customHeight="1">
      <c r="A27" s="3" t="n">
        <v>40</v>
      </c>
      <c r="B27" s="3" t="inlineStr">
        <is>
          <t>8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2026-03-11</t>
        </is>
      </c>
      <c r="I27" s="3" t="inlineStr">
        <is>
          <t>2026-03-11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J27:K27"/>
    <mergeCell ref="B8:F8"/>
    <mergeCell ref="B14:F14"/>
    <mergeCell ref="K22:L22"/>
    <mergeCell ref="A3:B3"/>
    <mergeCell ref="B17:F17"/>
    <mergeCell ref="B13:F13"/>
    <mergeCell ref="J26:K26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C26:E26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编号：ZDPX-03046/0.0-QA-审核报告-036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ZDPX-03046/0.0-QA-检查单-036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'C036-审核测量与绩效管理-阶段'!C26</f>
        <v/>
      </c>
      <c r="D13" s="3" t="n"/>
      <c r="E13" s="3" t="n"/>
      <c r="F13" s="3">
        <f>'C036-审核测量与绩效管理-阶段'!F26</f>
        <v/>
      </c>
      <c r="G13" s="3">
        <f>'C036-审核测量与绩效管理-阶段'!G26</f>
        <v/>
      </c>
      <c r="H13" s="3">
        <f>'C036-审核测量与绩效管理-阶段'!H26</f>
        <v/>
      </c>
      <c r="I13" s="3">
        <f>'C036-审核测量与绩效管理-阶段'!I26</f>
        <v/>
      </c>
      <c r="J13" s="3">
        <f>'C036-审核测量与绩效管理-阶段'!J26</f>
        <v/>
      </c>
      <c r="K13" s="3" t="n"/>
    </row>
    <row r="14" ht="30" customHeight="1">
      <c r="B14" s="3" t="n">
        <v>2</v>
      </c>
      <c r="C14" s="3">
        <f>'C036-审核测量与绩效管理-阶段'!C27</f>
        <v/>
      </c>
      <c r="D14" s="3" t="n"/>
      <c r="E14" s="3" t="n"/>
      <c r="F14" s="3">
        <f>'C036-审核测量与绩效管理-阶段'!F27</f>
        <v/>
      </c>
      <c r="G14" s="3">
        <f>'C036-审核测量与绩效管理-阶段'!G27</f>
        <v/>
      </c>
      <c r="H14" s="3">
        <f>'C036-审核测量与绩效管理-阶段'!H27</f>
        <v/>
      </c>
      <c r="I14" s="3">
        <f>'C036-审核测量与绩效管理-阶段'!I27</f>
        <v/>
      </c>
      <c r="J14" s="3">
        <f>'C036-审核测量与绩效管理-阶段'!J27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软件测试报告检查单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编号：ZDPX-03046/0.0-QA-检查单-038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软件编码与单元测试阶段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相控阵数字样机软件单元测试报告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ZDPX03046/0.0-DCBG</t>
        </is>
      </c>
      <c r="I4" s="3" t="n"/>
      <c r="J4" s="4" t="inlineStr">
        <is>
          <t>产品版本</t>
        </is>
      </c>
      <c r="K4" s="4" t="n"/>
      <c r="L4" s="3" t="inlineStr">
        <is>
          <t>V1.0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是否完整、准确记录了软件的完整标识？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是否正确记录了本文档所适用对象的用途？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是否完整、准确记录了本测试报告的依据？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是否准确地说明了本测试报告的级别（单元测试、集成测试、合格性测试）？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是否完整、准确地说明了测试过程？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是否对被测软件有总体评估？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是否完整、准确的记录了测试用例执行结果？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8*</t>
        </is>
      </c>
      <c r="B15" s="3" t="inlineStr">
        <is>
          <t>是否有完整的问题报告单？</t>
        </is>
      </c>
      <c r="C15" s="3" t="n"/>
      <c r="D15" s="3" t="n"/>
      <c r="E15" s="3" t="n"/>
      <c r="F15" s="3" t="n"/>
      <c r="G15" s="3" t="n"/>
      <c r="H15" s="3" t="inlineStr">
        <is>
          <t>✓</t>
        </is>
      </c>
      <c r="I15" s="3" t="n"/>
      <c r="J15" s="3" t="inlineStr">
        <is>
          <t>严重</t>
        </is>
      </c>
      <c r="K15" s="3" t="inlineStr">
        <is>
          <t>必要内容覆盖不完整</t>
        </is>
      </c>
      <c r="L15" s="3" t="n"/>
    </row>
    <row r="17">
      <c r="A17" s="7" t="inlineStr">
        <is>
          <t>不符合项问题明细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4" t="inlineStr">
        <is>
          <t>问题ID</t>
        </is>
      </c>
      <c r="B18" s="4" t="inlineStr">
        <is>
          <t>检查项</t>
        </is>
      </c>
      <c r="C18" s="4" t="inlineStr">
        <is>
          <t>问题描述</t>
        </is>
      </c>
      <c r="D18" s="4" t="inlineStr"/>
      <c r="E18" s="4" t="inlineStr"/>
      <c r="F18" s="4" t="inlineStr">
        <is>
          <t>严重程度</t>
        </is>
      </c>
      <c r="G18" s="4" t="inlineStr">
        <is>
          <t>责任人</t>
        </is>
      </c>
      <c r="H18" s="4" t="inlineStr">
        <is>
          <t>提交日期</t>
        </is>
      </c>
      <c r="I18" s="4" t="inlineStr">
        <is>
          <t>计划关闭日期</t>
        </is>
      </c>
      <c r="J18" s="4" t="inlineStr">
        <is>
          <t>纠正措施</t>
        </is>
      </c>
      <c r="K18" s="4" t="inlineStr"/>
      <c r="L18" s="4" t="inlineStr">
        <is>
          <t>关闭</t>
        </is>
      </c>
    </row>
    <row r="19" ht="30" customHeight="1">
      <c r="A19" s="3" t="n">
        <v>41</v>
      </c>
      <c r="B19" s="3" t="inlineStr">
        <is>
          <t>8</t>
        </is>
      </c>
      <c r="C19" s="3" t="inlineStr">
        <is>
          <t>相关工作产品未完整覆盖本检查项要求的必要内容和适用场景，当前结果不能支撑该项要求已经全部落实。</t>
        </is>
      </c>
      <c r="D19" s="3" t="n"/>
      <c r="E19" s="3" t="n"/>
      <c r="F19" s="3" t="inlineStr">
        <is>
          <t>严重</t>
        </is>
      </c>
      <c r="G19" s="3" t="inlineStr">
        <is>
          <t>赵要浦</t>
        </is>
      </c>
      <c r="H19" s="3" t="inlineStr">
        <is>
          <t>2026-03-11</t>
        </is>
      </c>
      <c r="I19" s="3" t="inlineStr">
        <is>
          <t>2026-03-11</t>
        </is>
      </c>
      <c r="J19" s="3" t="inlineStr">
        <is>
          <t>补齐遗漏内容和适用场景，核对相关输入后组织复核，并保留复核结论。</t>
        </is>
      </c>
      <c r="K19" s="3" t="n"/>
      <c r="L19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2">
    <mergeCell ref="F4:G4"/>
    <mergeCell ref="A7:L7"/>
    <mergeCell ref="K15:L15"/>
    <mergeCell ref="K9:L9"/>
    <mergeCell ref="J19:K19"/>
    <mergeCell ref="H4:I4"/>
    <mergeCell ref="F3:G3"/>
    <mergeCell ref="A2:L2"/>
    <mergeCell ref="B12:F12"/>
    <mergeCell ref="K11:L11"/>
    <mergeCell ref="B11:F11"/>
    <mergeCell ref="A17:L17"/>
    <mergeCell ref="B8:F8"/>
    <mergeCell ref="B14:F14"/>
    <mergeCell ref="A3:B3"/>
    <mergeCell ref="B13:F13"/>
    <mergeCell ref="J4:K4"/>
    <mergeCell ref="K12:L12"/>
    <mergeCell ref="C19:E19"/>
    <mergeCell ref="K8:L8"/>
    <mergeCell ref="B10:F10"/>
    <mergeCell ref="C3:E3"/>
    <mergeCell ref="K14:L14"/>
    <mergeCell ref="B9:F9"/>
    <mergeCell ref="H3:I3"/>
    <mergeCell ref="A4:B4"/>
    <mergeCell ref="J3:K3"/>
    <mergeCell ref="B15:F15"/>
    <mergeCell ref="A1:L1"/>
    <mergeCell ref="K10:L10"/>
    <mergeCell ref="C4:E4"/>
    <mergeCell ref="K13:L13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编号：ZDPX-03046/0.0-QA-审核报告-038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软件编码与单元测试阶段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相控阵数字样机软件单元测试报告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2026-03-11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ZDPX-03046/0.0-QA-检查单-038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本次审核依据《软件测试报告检查单》实施。经审核，发现1个不符合项。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'C038-相控阵数字样机软件单元测试报告'!C19</f>
        <v/>
      </c>
      <c r="D13" s="3" t="n"/>
      <c r="E13" s="3" t="n"/>
      <c r="F13" s="3">
        <f>'C038-相控阵数字样机软件单元测试报告'!F19</f>
        <v/>
      </c>
      <c r="G13" s="3">
        <f>'C038-相控阵数字样机软件单元测试报告'!G19</f>
        <v/>
      </c>
      <c r="H13" s="3">
        <f>'C038-相控阵数字样机软件单元测试报告'!H19</f>
        <v/>
      </c>
      <c r="I13" s="3">
        <f>'C038-相控阵数字样机软件单元测试报告'!I19</f>
        <v/>
      </c>
      <c r="J13" s="3">
        <f>'C038-相控阵数字样机软件单元测试报告'!J19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32</v>
      </c>
      <c r="B2">
        <f>'R032-审核验证与确认过程'!F4</f>
        <v/>
      </c>
      <c r="C2">
        <f>'R032-审核验证与确认过程'!B13</f>
        <v/>
      </c>
      <c r="D2" t="inlineStr">
        <is>
          <t>VV</t>
        </is>
      </c>
      <c r="E2">
        <f>'R032-审核验证与确认过程'!C13</f>
        <v/>
      </c>
      <c r="F2">
        <f>'R032-审核验证与确认过程'!F13</f>
        <v/>
      </c>
      <c r="G2" t="inlineStr">
        <is>
          <t>否</t>
        </is>
      </c>
      <c r="H2" t="inlineStr">
        <is>
          <t>2026-03-11</t>
        </is>
      </c>
      <c r="I2" t="inlineStr">
        <is>
          <t>阶段</t>
        </is>
      </c>
      <c r="J2" t="inlineStr">
        <is>
          <t>2026-03-11</t>
        </is>
      </c>
    </row>
    <row r="3">
      <c r="A3" t="n">
        <v>33</v>
      </c>
      <c r="B3">
        <f>'R033-审核需求开发与管理过程'!F4</f>
        <v/>
      </c>
      <c r="C3">
        <f>'R033-审核需求开发与管理过程'!B13</f>
        <v/>
      </c>
      <c r="D3" t="inlineStr">
        <is>
          <t>RDM</t>
        </is>
      </c>
      <c r="E3">
        <f>'R033-审核需求开发与管理过程'!C13</f>
        <v/>
      </c>
      <c r="F3">
        <f>'R033-审核需求开发与管理过程'!F13</f>
        <v/>
      </c>
      <c r="G3" t="inlineStr">
        <is>
          <t>否</t>
        </is>
      </c>
      <c r="H3" t="inlineStr">
        <is>
          <t>2026-03-11</t>
        </is>
      </c>
      <c r="I3" t="inlineStr">
        <is>
          <t>阶段</t>
        </is>
      </c>
      <c r="J3" t="inlineStr">
        <is>
          <t>2026-03-11</t>
        </is>
      </c>
    </row>
    <row r="4">
      <c r="A4" t="n">
        <v>35</v>
      </c>
      <c r="B4">
        <f>'R035-审核项目监控-阶段'!F4</f>
        <v/>
      </c>
      <c r="C4">
        <f>'R035-审核项目监控-阶段'!B13</f>
        <v/>
      </c>
      <c r="D4" t="inlineStr">
        <is>
          <t>PMC</t>
        </is>
      </c>
      <c r="E4">
        <f>'R035-审核项目监控-阶段'!C13</f>
        <v/>
      </c>
      <c r="F4">
        <f>'R035-审核项目监控-阶段'!F13</f>
        <v/>
      </c>
      <c r="G4" t="inlineStr">
        <is>
          <t>否</t>
        </is>
      </c>
      <c r="H4" t="inlineStr">
        <is>
          <t>2026-03-11</t>
        </is>
      </c>
      <c r="I4" t="inlineStr">
        <is>
          <t>阶段</t>
        </is>
      </c>
      <c r="J4" t="inlineStr">
        <is>
          <t>2026-03-11</t>
        </is>
      </c>
    </row>
    <row r="5">
      <c r="A5" t="n">
        <v>35</v>
      </c>
      <c r="B5">
        <f>'R035-审核项目监控-阶段'!F4</f>
        <v/>
      </c>
      <c r="C5">
        <f>'R035-审核项目监控-阶段'!B14</f>
        <v/>
      </c>
      <c r="D5" t="inlineStr">
        <is>
          <t>PMC</t>
        </is>
      </c>
      <c r="E5">
        <f>'R035-审核项目监控-阶段'!C14</f>
        <v/>
      </c>
      <c r="F5">
        <f>'R035-审核项目监控-阶段'!F14</f>
        <v/>
      </c>
      <c r="G5" t="inlineStr">
        <is>
          <t>否</t>
        </is>
      </c>
      <c r="H5" t="inlineStr">
        <is>
          <t>2026-03-11</t>
        </is>
      </c>
      <c r="I5" t="inlineStr">
        <is>
          <t>阶段</t>
        </is>
      </c>
      <c r="J5" t="inlineStr">
        <is>
          <t>2026-03-11</t>
        </is>
      </c>
    </row>
    <row r="6">
      <c r="A6" t="n">
        <v>36</v>
      </c>
      <c r="B6">
        <f>'R036-审核测量与绩效管理-阶段'!F4</f>
        <v/>
      </c>
      <c r="C6">
        <f>'R036-审核测量与绩效管理-阶段'!B13</f>
        <v/>
      </c>
      <c r="D6" t="inlineStr">
        <is>
          <t>MPM</t>
        </is>
      </c>
      <c r="E6">
        <f>'R036-审核测量与绩效管理-阶段'!C13</f>
        <v/>
      </c>
      <c r="F6">
        <f>'R036-审核测量与绩效管理-阶段'!F13</f>
        <v/>
      </c>
      <c r="G6" t="inlineStr">
        <is>
          <t>否</t>
        </is>
      </c>
      <c r="H6" t="inlineStr">
        <is>
          <t>2026-03-11</t>
        </is>
      </c>
      <c r="I6" t="inlineStr">
        <is>
          <t>阶段</t>
        </is>
      </c>
      <c r="J6" t="inlineStr">
        <is>
          <t>2026-03-11</t>
        </is>
      </c>
    </row>
    <row r="7">
      <c r="A7" t="n">
        <v>36</v>
      </c>
      <c r="B7">
        <f>'R036-审核测量与绩效管理-阶段'!F4</f>
        <v/>
      </c>
      <c r="C7">
        <f>'R036-审核测量与绩效管理-阶段'!B14</f>
        <v/>
      </c>
      <c r="D7" t="inlineStr">
        <is>
          <t>MPM</t>
        </is>
      </c>
      <c r="E7">
        <f>'R036-审核测量与绩效管理-阶段'!C14</f>
        <v/>
      </c>
      <c r="F7">
        <f>'R036-审核测量与绩效管理-阶段'!F14</f>
        <v/>
      </c>
      <c r="G7" t="inlineStr">
        <is>
          <t>否</t>
        </is>
      </c>
      <c r="H7" t="inlineStr">
        <is>
          <t>2026-03-11</t>
        </is>
      </c>
      <c r="I7" t="inlineStr">
        <is>
          <t>阶段</t>
        </is>
      </c>
      <c r="J7" t="inlineStr">
        <is>
          <t>2026-03-11</t>
        </is>
      </c>
    </row>
    <row r="8">
      <c r="A8" t="n">
        <v>38</v>
      </c>
      <c r="B8">
        <f>'R038-相控阵数字样机软件单元测试报告'!F4</f>
        <v/>
      </c>
      <c r="C8">
        <f>'R038-相控阵数字样机软件单元测试报告'!B13</f>
        <v/>
      </c>
      <c r="D8" t="inlineStr">
        <is>
          <t>工作产品</t>
        </is>
      </c>
      <c r="E8">
        <f>'R038-相控阵数字样机软件单元测试报告'!C13</f>
        <v/>
      </c>
      <c r="F8">
        <f>'R038-相控阵数字样机软件单元测试报告'!F13</f>
        <v/>
      </c>
      <c r="G8" t="inlineStr">
        <is>
          <t>否</t>
        </is>
      </c>
      <c r="H8" t="inlineStr">
        <is>
          <t>2026-03-11</t>
        </is>
      </c>
      <c r="I8" t="inlineStr">
        <is>
          <t>阶段</t>
        </is>
      </c>
      <c r="J8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2026-08-21T13:54:31Z</dcterms:created>
  <dcterms:modified xmlns:dcterms="http://purl.org/dc/terms/" xmlns:xsi="http://www.w3.org/2001/XMLSchema-instance" xsi:type="dcterms:W3CDTF">2026-08-21T13:54:32Z</dcterms:modified>
</cp:coreProperties>
</file>