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软件需求规格说明检查单" sheetId="1" state="visible" r:id="rId1"/>
    <sheet xmlns:r="http://schemas.openxmlformats.org/officeDocument/2006/relationships" name="001产品审核报告-需求规格" sheetId="2" state="visible" r:id="rId2"/>
    <sheet xmlns:r="http://schemas.openxmlformats.org/officeDocument/2006/relationships" name="阶段质量审核工作报告" sheetId="3" state="visible" r:id="rId3"/>
  </sheets>
  <definedNames>
    <definedName name="_xlnm.Print_Area" localSheetId="0">'软件需求规格说明检查单'!$A$1:$L$28</definedName>
    <definedName name="_xlnm.Print_Area" localSheetId="1">'001产品审核报告-需求规格'!$B$1:$K$18</definedName>
    <definedName name="_xlnm.Print_Area" localSheetId="2">'阶段质量审核工作报告'!$A$1:$L$104</definedName>
  </definedNames>
  <calcPr calcId="124519" calcMode="auto" fullCalcOnLoad="1" forceFullCalc="1"/>
</workbook>
</file>

<file path=xl/styles.xml><?xml version="1.0" encoding="utf-8"?>
<styleSheet xmlns="http://schemas.openxmlformats.org/spreadsheetml/2006/main">
  <numFmts count="3">
    <numFmt numFmtId="164" formatCode="yyyy-mm-dd"/>
    <numFmt numFmtId="165" formatCode="yyyy-mm-dd h:mm:ss"/>
    <numFmt numFmtId="166" formatCode="0.0%"/>
  </numFmts>
  <fonts count="11">
    <font>
      <name val="Calibri"/>
      <family val="2"/>
      <color theme="1"/>
      <sz val="11"/>
      <scheme val="minor"/>
    </font>
    <font>
      <name val="Microsoft YaHei"/>
      <charset val="134"/>
      <family val="2"/>
      <b val="1"/>
      <color rgb="FF000000"/>
      <sz val="18"/>
    </font>
    <font>
      <name val="Microsoft YaHei"/>
      <charset val="134"/>
      <family val="2"/>
      <color rgb="FF000000"/>
      <sz val="11"/>
    </font>
    <font>
      <name val="Microsoft YaHei"/>
      <charset val="134"/>
      <family val="2"/>
      <b val="1"/>
      <color rgb="FF000000"/>
      <sz val="11"/>
    </font>
    <font>
      <name val="Microsoft YaHei"/>
      <charset val="134"/>
      <family val="2"/>
      <color rgb="FF000000"/>
      <sz val="10"/>
    </font>
    <font>
      <name val="Microsoft YaHei"/>
      <charset val="134"/>
      <family val="2"/>
      <b val="1"/>
      <color rgb="FF17365D"/>
      <sz val="10"/>
    </font>
    <font>
      <name val="黑体"/>
      <charset val="134"/>
      <family val="3"/>
      <b val="1"/>
      <color theme="1"/>
      <sz val="16"/>
    </font>
    <font>
      <name val="宋体"/>
      <family val="2"/>
      <color theme="1"/>
      <sz val="11"/>
      <scheme val="minor"/>
    </font>
    <font>
      <name val="黑体"/>
      <charset val="134"/>
      <family val="3"/>
      <color theme="1"/>
      <sz val="11"/>
    </font>
    <font>
      <name val="宋体"/>
      <charset val="134"/>
      <family val="3"/>
      <color theme="1"/>
      <sz val="11"/>
      <scheme val="minor"/>
    </font>
    <font>
      <name val="宋体"/>
      <charset val="134"/>
      <family val="3"/>
      <color theme="1"/>
      <sz val="11"/>
    </font>
  </fonts>
  <fills count="7">
    <fill>
      <patternFill/>
    </fill>
    <fill>
      <patternFill patternType="gray125"/>
    </fill>
    <fill>
      <patternFill patternType="solid">
        <fgColor rgb="FFFFFFFF"/>
      </patternFill>
    </fill>
    <fill>
      <patternFill patternType="solid">
        <fgColor rgb="FFEAF3F8"/>
      </patternFill>
    </fill>
    <fill>
      <patternFill patternType="solid">
        <fgColor theme="3" tint="0.7999816888943144"/>
        <bgColor indexed="64"/>
      </patternFill>
    </fill>
    <fill>
      <patternFill patternType="solid">
        <fgColor theme="0" tint="-0.1499984740745262"/>
        <bgColor indexed="64"/>
      </patternFill>
    </fill>
    <fill>
      <patternFill patternType="solid">
        <fgColor theme="0" tint="-0.0499893185216834"/>
        <bgColor indexed="64"/>
      </patternFill>
    </fill>
  </fills>
  <borders count="56">
    <border>
      <left/>
      <right/>
      <top/>
      <bottom/>
      <diagonal/>
    </border>
    <border>
      <left style="thin">
        <color rgb="FF808080"/>
      </left>
      <right style="thin">
        <color rgb="FF808080"/>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right style="thin">
        <color rgb="FF808080"/>
      </right>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auto="1"/>
      </right>
      <top style="thin">
        <color auto="1"/>
      </top>
      <bottom/>
      <diagonal/>
    </border>
    <border>
      <left/>
      <right style="thick">
        <color auto="1"/>
      </right>
      <top style="thin">
        <color auto="1"/>
      </top>
      <bottom style="thin">
        <color auto="1"/>
      </bottom>
      <diagonal/>
    </border>
    <border>
      <left/>
      <right/>
      <top style="thick">
        <color auto="1"/>
      </top>
      <bottom/>
      <diagonal/>
    </border>
    <border>
      <left/>
      <right style="thin">
        <color auto="1"/>
      </right>
      <top style="thick">
        <color auto="1"/>
      </top>
      <bottom/>
      <diagonal/>
    </border>
    <border>
      <left/>
      <right/>
      <top style="thick">
        <color auto="1"/>
      </top>
      <bottom style="thin">
        <color auto="1"/>
      </bottom>
      <diagonal/>
    </border>
    <border>
      <left/>
      <right style="thin">
        <color auto="1"/>
      </right>
      <top style="thick">
        <color auto="1"/>
      </top>
      <bottom style="thin">
        <color auto="1"/>
      </bottom>
      <diagonal/>
    </border>
    <border>
      <left style="thick">
        <color auto="1"/>
      </left>
      <right/>
      <top/>
      <bottom/>
      <diagonal/>
    </border>
    <border>
      <left/>
      <right style="thin">
        <color auto="1"/>
      </right>
      <top/>
      <bottom/>
      <diagonal/>
    </border>
    <border>
      <left style="thick">
        <color auto="1"/>
      </left>
      <right/>
      <top/>
      <bottom style="thin">
        <color auto="1"/>
      </bottom>
      <diagonal/>
    </border>
    <border>
      <left/>
      <right style="thin">
        <color auto="1"/>
      </right>
      <top/>
      <bottom style="thin">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indexed="64"/>
      </top>
      <bottom style="thin">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diagonal/>
    </border>
    <border>
      <left/>
      <right style="medium">
        <color auto="1"/>
      </right>
      <top style="thin">
        <color auto="1"/>
      </top>
      <bottom style="thin">
        <color auto="1"/>
      </bottom>
      <diagonal/>
    </border>
    <border>
      <left/>
      <right/>
      <top style="thin">
        <color indexed="64"/>
      </top>
      <bottom/>
      <diagonal/>
    </border>
    <border>
      <left/>
      <right style="thin">
        <color auto="1"/>
      </right>
      <top style="thin">
        <color indexed="64"/>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top style="medium">
        <color auto="1"/>
      </top>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s>
  <cellStyleXfs count="1">
    <xf numFmtId="0" fontId="0" fillId="0" borderId="0"/>
  </cellStyleXfs>
  <cellXfs count="98">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0" borderId="1" applyAlignment="1" pivotButton="0" quotePrefix="0" xfId="0">
      <alignment horizontal="center" vertical="center" wrapText="1"/>
    </xf>
    <xf numFmtId="0" fontId="0" fillId="0" borderId="5" pivotButton="0" quotePrefix="0" xfId="0"/>
    <xf numFmtId="0" fontId="4" fillId="0" borderId="1" applyAlignment="1" pivotButton="0" quotePrefix="0" xfId="0">
      <alignment horizontal="center" vertical="center" wrapText="1"/>
    </xf>
    <xf numFmtId="164" fontId="4" fillId="0" borderId="1" applyAlignment="1" pivotButton="0" quotePrefix="0" xfId="0">
      <alignment horizontal="center" vertical="center" wrapText="1"/>
    </xf>
    <xf numFmtId="0" fontId="0" fillId="0" borderId="4" pivotButton="0" quotePrefix="0" xfId="0"/>
    <xf numFmtId="0" fontId="5"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 fillId="0" borderId="1" applyAlignment="1" pivotButton="0" quotePrefix="0" xfId="0">
      <alignment horizontal="left" vertical="center" wrapText="1"/>
    </xf>
    <xf numFmtId="0" fontId="4" fillId="0" borderId="1" applyAlignment="1" applyProtection="1" pivotButton="0" quotePrefix="0" xfId="0">
      <alignment horizontal="center" vertical="center" wrapText="1"/>
      <protection locked="0" hidden="0"/>
    </xf>
    <xf numFmtId="0" fontId="4" fillId="0" borderId="0" applyAlignment="1" pivotButton="0" quotePrefix="0" xfId="0">
      <alignment horizontal="center" vertical="center" wrapText="1"/>
    </xf>
    <xf numFmtId="0" fontId="5" fillId="3" borderId="0" applyAlignment="1" pivotButton="0" quotePrefix="0" xfId="0">
      <alignment horizontal="left" vertical="center" wrapText="1"/>
    </xf>
    <xf numFmtId="0" fontId="6" fillId="0" borderId="0" applyAlignment="1" pivotButton="0" quotePrefix="0" xfId="0">
      <alignment horizontal="center" vertical="center"/>
    </xf>
    <xf numFmtId="0" fontId="7" fillId="0" borderId="0" applyAlignment="1" pivotButton="0" quotePrefix="0" xfId="0">
      <alignment horizontal="right" vertical="center"/>
    </xf>
    <xf numFmtId="0" fontId="8" fillId="0" borderId="13" applyAlignment="1" pivotButton="0" quotePrefix="0" xfId="0">
      <alignment horizontal="left" vertical="center"/>
    </xf>
    <xf numFmtId="0" fontId="7" fillId="0" borderId="14" applyAlignment="1" pivotButton="0" quotePrefix="0" xfId="0">
      <alignment horizontal="left" vertical="center"/>
    </xf>
    <xf numFmtId="0" fontId="0" fillId="0" borderId="27" pivotButton="0" quotePrefix="0" xfId="0"/>
    <xf numFmtId="0" fontId="0" fillId="0" borderId="28" pivotButton="0" quotePrefix="0" xfId="0"/>
    <xf numFmtId="0" fontId="8" fillId="0" borderId="14" applyAlignment="1" pivotButton="0" quotePrefix="0" xfId="0">
      <alignment horizontal="center" vertical="center"/>
    </xf>
    <xf numFmtId="0" fontId="8" fillId="0" borderId="15" applyAlignment="1" pivotButton="0" quotePrefix="0" xfId="0">
      <alignment horizontal="left" vertical="center"/>
    </xf>
    <xf numFmtId="0" fontId="0" fillId="0" borderId="21" pivotButton="0" quotePrefix="0" xfId="0"/>
    <xf numFmtId="0" fontId="0" fillId="0" borderId="22" pivotButton="0" quotePrefix="0" xfId="0"/>
    <xf numFmtId="0" fontId="7" fillId="0" borderId="16" applyAlignment="1" pivotButton="0" quotePrefix="0" xfId="0">
      <alignment horizontal="left" vertical="center"/>
    </xf>
    <xf numFmtId="0" fontId="0" fillId="0" borderId="24" pivotButton="0" quotePrefix="0" xfId="0"/>
    <xf numFmtId="0" fontId="7" fillId="0" borderId="17" applyAlignment="1" pivotButton="0" quotePrefix="0" xfId="0">
      <alignment horizontal="center" vertical="center"/>
    </xf>
    <xf numFmtId="14" fontId="8" fillId="0" borderId="17" applyAlignment="1" pivotButton="0" quotePrefix="0" xfId="0">
      <alignment horizontal="center" vertical="center"/>
    </xf>
    <xf numFmtId="14" fontId="8" fillId="0" borderId="16" applyAlignment="1" pivotButton="0" quotePrefix="0" xfId="0">
      <alignment horizontal="center" vertical="center"/>
    </xf>
    <xf numFmtId="0" fontId="7" fillId="0" borderId="17" applyAlignment="1" pivotButton="0" quotePrefix="0" xfId="0">
      <alignment horizontal="left" vertical="center"/>
    </xf>
    <xf numFmtId="0" fontId="7" fillId="0" borderId="15" applyAlignment="1" pivotButton="0" quotePrefix="0" xfId="0">
      <alignment horizontal="left" vertical="center" wrapText="1"/>
    </xf>
    <xf numFmtId="0" fontId="8" fillId="0" borderId="15" applyAlignment="1" pivotButton="0" quotePrefix="0" xfId="0">
      <alignment horizontal="center" vertical="center"/>
    </xf>
    <xf numFmtId="0" fontId="0" fillId="0" borderId="20" pivotButton="0" quotePrefix="0" xfId="0"/>
    <xf numFmtId="0" fontId="8" fillId="0" borderId="17" applyAlignment="1" pivotButton="0" quotePrefix="0" xfId="0">
      <alignment horizontal="center" vertical="center"/>
    </xf>
    <xf numFmtId="0" fontId="8" fillId="0" borderId="16" applyAlignment="1" pivotButton="0" quotePrefix="0" xfId="0">
      <alignment horizontal="center" vertical="center"/>
    </xf>
    <xf numFmtId="0" fontId="0" fillId="0" borderId="31" pivotButton="0" quotePrefix="0" xfId="0"/>
    <xf numFmtId="0" fontId="0" fillId="0" borderId="32" pivotButton="0" quotePrefix="0" xfId="0"/>
    <xf numFmtId="0" fontId="7" fillId="0" borderId="16" applyAlignment="1" pivotButton="0" quotePrefix="0" xfId="0">
      <alignment horizontal="center" vertical="center"/>
    </xf>
    <xf numFmtId="0" fontId="7" fillId="0" borderId="15" applyAlignment="1" pivotButton="0" quotePrefix="0" xfId="0">
      <alignment horizontal="center" vertical="center"/>
    </xf>
    <xf numFmtId="0" fontId="7" fillId="0" borderId="17" applyAlignment="1" pivotButton="0" quotePrefix="0" xfId="0">
      <alignment horizontal="left" vertical="center" wrapText="1"/>
    </xf>
    <xf numFmtId="0" fontId="7" fillId="0" borderId="17" applyAlignment="1" pivotButton="0" quotePrefix="0" xfId="0">
      <alignment vertical="center"/>
    </xf>
    <xf numFmtId="14" fontId="7" fillId="0" borderId="17" applyAlignment="1" pivotButton="0" quotePrefix="0" xfId="0">
      <alignment horizontal="left" vertical="center"/>
    </xf>
    <xf numFmtId="0" fontId="7" fillId="0" borderId="16" applyAlignment="1" pivotButton="0" quotePrefix="0" xfId="0">
      <alignment horizontal="left" vertical="center" wrapText="1"/>
    </xf>
    <xf numFmtId="0" fontId="7" fillId="0" borderId="18" applyAlignment="1" pivotButton="0" quotePrefix="0" xfId="0">
      <alignment horizontal="left" vertical="center" wrapText="1"/>
    </xf>
    <xf numFmtId="0" fontId="0" fillId="0" borderId="33" pivotButton="0" quotePrefix="0" xfId="0"/>
    <xf numFmtId="0" fontId="0" fillId="0" borderId="34" pivotButton="0" quotePrefix="0" xfId="0"/>
    <xf numFmtId="14" fontId="7" fillId="0" borderId="0" applyAlignment="1" pivotButton="0" quotePrefix="0" xfId="0">
      <alignment vertical="center"/>
    </xf>
    <xf numFmtId="0" fontId="6" fillId="0" borderId="0" applyAlignment="1" pivotButton="0" quotePrefix="0" xfId="0">
      <alignment horizontal="center" vertical="center" wrapText="1"/>
    </xf>
    <xf numFmtId="0" fontId="7" fillId="0" borderId="0" applyAlignment="1" pivotButton="0" quotePrefix="0" xfId="0">
      <alignment horizontal="right" vertical="center" wrapText="1"/>
    </xf>
    <xf numFmtId="0" fontId="8" fillId="4" borderId="35" applyAlignment="1" pivotButton="0" quotePrefix="0" xfId="0">
      <alignment horizontal="center" vertical="center" wrapText="1"/>
    </xf>
    <xf numFmtId="0" fontId="7" fillId="0" borderId="36" applyAlignment="1" pivotButton="0" quotePrefix="0" xfId="0">
      <alignment horizontal="center" vertical="center" wrapText="1"/>
    </xf>
    <xf numFmtId="0" fontId="0" fillId="0" borderId="52" pivotButton="0" quotePrefix="0" xfId="0"/>
    <xf numFmtId="0" fontId="0" fillId="0" borderId="53" pivotButton="0" quotePrefix="0" xfId="0"/>
    <xf numFmtId="0" fontId="8" fillId="4" borderId="37" applyAlignment="1" pivotButton="0" quotePrefix="0" xfId="0">
      <alignment horizontal="center" vertical="center" wrapText="1"/>
    </xf>
    <xf numFmtId="0" fontId="7" fillId="0" borderId="17" applyAlignment="1" pivotButton="0" quotePrefix="0" xfId="0">
      <alignment horizontal="center" vertical="center" wrapText="1"/>
    </xf>
    <xf numFmtId="0" fontId="8" fillId="4" borderId="17" applyAlignment="1" pivotButton="0" quotePrefix="0" xfId="0">
      <alignment horizontal="center" vertical="center" wrapText="1"/>
    </xf>
    <xf numFmtId="164" fontId="7" fillId="0" borderId="17" applyAlignment="1" pivotButton="0" quotePrefix="0" xfId="0">
      <alignment horizontal="center" vertical="center" wrapText="1"/>
    </xf>
    <xf numFmtId="0" fontId="8" fillId="4" borderId="17" applyAlignment="1" pivotButton="0" quotePrefix="0" xfId="0">
      <alignment vertical="center" wrapText="1"/>
    </xf>
    <xf numFmtId="0" fontId="7" fillId="0" borderId="0" applyAlignment="1" pivotButton="0" quotePrefix="0" xfId="0">
      <alignment horizontal="center" vertical="center" wrapText="1"/>
    </xf>
    <xf numFmtId="0" fontId="8" fillId="4" borderId="38" applyAlignment="1" pivotButton="0" quotePrefix="0" xfId="0">
      <alignment horizontal="center" vertical="center" wrapText="1"/>
    </xf>
    <xf numFmtId="0" fontId="0" fillId="0" borderId="44" pivotButton="0" quotePrefix="0" xfId="0"/>
    <xf numFmtId="0" fontId="8" fillId="5" borderId="17" applyAlignment="1" pivotButton="0" quotePrefix="0" xfId="0">
      <alignment horizontal="left" vertical="center" wrapText="1"/>
    </xf>
    <xf numFmtId="0" fontId="9" fillId="0" borderId="17" applyAlignment="1" pivotButton="0" quotePrefix="0" xfId="0">
      <alignment horizontal="left" vertical="center" wrapText="1"/>
    </xf>
    <xf numFmtId="0" fontId="8" fillId="6" borderId="17" applyAlignment="1" pivotButton="0" quotePrefix="0" xfId="0">
      <alignment vertical="center" wrapText="1"/>
    </xf>
    <xf numFmtId="14" fontId="8" fillId="0" borderId="39" applyAlignment="1" pivotButton="0" quotePrefix="0" xfId="0">
      <alignment horizontal="center" vertical="center" wrapText="1"/>
    </xf>
    <xf numFmtId="0" fontId="8" fillId="6" borderId="37" applyAlignment="1" pivotButton="0" quotePrefix="0" xfId="0">
      <alignment horizontal="center" vertical="center" wrapText="1"/>
    </xf>
    <xf numFmtId="0" fontId="8" fillId="6" borderId="17" applyAlignment="1" pivotButton="0" quotePrefix="0" xfId="0">
      <alignment horizontal="center" vertical="center" wrapText="1"/>
    </xf>
    <xf numFmtId="0" fontId="8" fillId="6" borderId="39" applyAlignment="1" pivotButton="0" quotePrefix="0" xfId="0">
      <alignment vertical="center" wrapText="1"/>
    </xf>
    <xf numFmtId="0" fontId="7" fillId="0" borderId="17" applyAlignment="1" pivotButton="0" quotePrefix="0" xfId="0">
      <alignment vertical="center" wrapText="1"/>
    </xf>
    <xf numFmtId="0" fontId="7" fillId="0" borderId="39" applyAlignment="1" pivotButton="0" quotePrefix="0" xfId="0">
      <alignment vertical="center" wrapText="1"/>
    </xf>
    <xf numFmtId="0" fontId="7" fillId="0" borderId="39" applyAlignment="1" pivotButton="0" quotePrefix="0" xfId="0">
      <alignment horizontal="left" vertical="center" wrapText="1"/>
    </xf>
    <xf numFmtId="14" fontId="8" fillId="0" borderId="17" applyAlignment="1" pivotButton="0" quotePrefix="0" xfId="0">
      <alignment horizontal="center" vertical="center" wrapText="1"/>
    </xf>
    <xf numFmtId="14" fontId="8" fillId="0" borderId="40" applyAlignment="1" pivotButton="0" quotePrefix="0" xfId="0">
      <alignment horizontal="center" vertical="center" wrapText="1"/>
    </xf>
    <xf numFmtId="0" fontId="7" fillId="0" borderId="41" applyAlignment="1" pivotButton="0" quotePrefix="0" xfId="0">
      <alignment horizontal="center" vertical="center" wrapText="1"/>
    </xf>
    <xf numFmtId="0" fontId="0" fillId="0" borderId="46" pivotButton="0" quotePrefix="0" xfId="0"/>
    <xf numFmtId="14" fontId="8" fillId="0" borderId="22" applyAlignment="1" pivotButton="0" quotePrefix="0" xfId="0">
      <alignment horizontal="center" vertical="center" wrapText="1"/>
    </xf>
    <xf numFmtId="0" fontId="0" fillId="0" borderId="30" pivotButton="0" quotePrefix="0" xfId="0"/>
    <xf numFmtId="0" fontId="8" fillId="0" borderId="17" applyAlignment="1" pivotButton="0" quotePrefix="0" xfId="0">
      <alignment horizontal="center" vertical="center" wrapText="1"/>
    </xf>
    <xf numFmtId="10" fontId="8" fillId="0" borderId="41" applyAlignment="1" pivotButton="0" quotePrefix="0" xfId="0">
      <alignment horizontal="center" vertical="center" wrapText="1"/>
    </xf>
    <xf numFmtId="0" fontId="8" fillId="0" borderId="22" applyAlignment="1" pivotButton="0" quotePrefix="0" xfId="0">
      <alignment horizontal="center" vertical="center" wrapText="1"/>
    </xf>
    <xf numFmtId="0" fontId="8" fillId="0" borderId="39" applyAlignment="1" pivotButton="0" quotePrefix="0" xfId="0">
      <alignment horizontal="center" vertical="center" wrapText="1"/>
    </xf>
    <xf numFmtId="0" fontId="0" fillId="0" borderId="47" pivotButton="0" quotePrefix="0" xfId="0"/>
    <xf numFmtId="0" fontId="0" fillId="0" borderId="49" pivotButton="0" quotePrefix="0" xfId="0"/>
    <xf numFmtId="10" fontId="8" fillId="0" borderId="17" applyAlignment="1" pivotButton="0" quotePrefix="0" xfId="0">
      <alignment horizontal="center" vertical="center" wrapText="1"/>
    </xf>
    <xf numFmtId="10" fontId="8" fillId="0" borderId="22" applyAlignment="1" pivotButton="0" quotePrefix="0" xfId="0">
      <alignment horizontal="center" vertical="center" wrapText="1"/>
    </xf>
    <xf numFmtId="10" fontId="8" fillId="0" borderId="39" applyAlignment="1" pivotButton="0" quotePrefix="0" xfId="0">
      <alignment horizontal="center" vertical="center" wrapText="1"/>
    </xf>
    <xf numFmtId="0" fontId="10" fillId="0" borderId="17" applyAlignment="1" pivotButton="0" quotePrefix="0" xfId="0">
      <alignment horizontal="center" vertical="center" wrapText="1"/>
    </xf>
    <xf numFmtId="166" fontId="8" fillId="0" borderId="17" applyAlignment="1" pivotButton="0" quotePrefix="0" xfId="0">
      <alignment horizontal="center" vertical="center" wrapText="1"/>
    </xf>
    <xf numFmtId="0" fontId="8" fillId="4" borderId="39" applyAlignment="1" pivotButton="0" quotePrefix="0" xfId="0">
      <alignment horizontal="center" vertical="center" wrapText="1"/>
    </xf>
    <xf numFmtId="0" fontId="10" fillId="0" borderId="39" applyAlignment="1" pivotButton="0" quotePrefix="0" xfId="0">
      <alignment horizontal="center" vertical="center" wrapText="1"/>
    </xf>
    <xf numFmtId="0" fontId="7" fillId="0" borderId="42" applyAlignment="1" pivotButton="0" quotePrefix="0" xfId="0">
      <alignment horizontal="left" vertical="center" wrapText="1"/>
    </xf>
    <xf numFmtId="0" fontId="0" fillId="0" borderId="54" pivotButton="0" quotePrefix="0" xfId="0"/>
    <xf numFmtId="0" fontId="0" fillId="0" borderId="5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4E78"/>
    <outlinePr summaryBelow="1" summaryRight="1"/>
    <pageSetUpPr fitToPage="1"/>
  </sheetPr>
  <dimension ref="A1:L28"/>
  <sheetViews>
    <sheetView showGridLines="0" workbookViewId="0">
      <pane ySplit="6" topLeftCell="A7" activePane="bottomLeft" state="frozen"/>
      <selection pane="bottomLeft" activeCell="A1" sqref="A1"/>
    </sheetView>
  </sheetViews>
  <sheetFormatPr baseColWidth="10" defaultColWidth="8.83203125" defaultRowHeight="14"/>
  <cols>
    <col width="7" customWidth="1" min="1" max="1"/>
    <col width="12" customWidth="1" min="2" max="5"/>
    <col width="11" customWidth="1" min="6" max="6"/>
    <col width="8" customWidth="1" min="7" max="9"/>
    <col width="12" customWidth="1" min="10" max="11"/>
    <col width="16" customWidth="1" min="12" max="12"/>
  </cols>
  <sheetData>
    <row r="1" ht="42" customHeight="1">
      <c r="A1" s="1" t="inlineStr">
        <is>
          <t>软件需求规格说明检查单</t>
        </is>
      </c>
    </row>
    <row r="2" ht="30" customHeight="1">
      <c r="A2" s="2" t="inlineStr">
        <is>
          <t>编号： ZDPX-STEP5/0.0-QA-检查单-001</t>
        </is>
      </c>
    </row>
    <row r="3" ht="32" customHeight="1">
      <c r="A3" s="3" t="inlineStr">
        <is>
          <t>项目名称</t>
        </is>
      </c>
      <c r="B3" s="4" t="n"/>
      <c r="C3" s="5" t="inlineStr">
        <is>
          <t>QualityM Step 5 技术原型</t>
        </is>
      </c>
      <c r="D3" s="3" t="inlineStr">
        <is>
          <t>当前阶段</t>
        </is>
      </c>
      <c r="E3" s="5" t="inlineStr">
        <is>
          <t>软件需求分析</t>
        </is>
      </c>
      <c r="F3" s="3" t="inlineStr">
        <is>
          <t>审核日期</t>
        </is>
      </c>
      <c r="G3" s="6" t="n">
        <v>46248</v>
      </c>
      <c r="H3" s="7" t="n"/>
      <c r="I3" s="4" t="n"/>
      <c r="J3" s="3" t="inlineStr">
        <is>
          <t>项目QA</t>
        </is>
      </c>
      <c r="K3" s="5" t="inlineStr">
        <is>
          <t>项目QA</t>
        </is>
      </c>
      <c r="L3" s="4" t="n"/>
    </row>
    <row r="4" ht="32" customHeight="1">
      <c r="A4" s="3" t="inlineStr">
        <is>
          <t>产品名称</t>
        </is>
      </c>
      <c r="B4" s="4" t="n"/>
      <c r="C4" s="5" t="inlineStr">
        <is>
          <t>软件需求规格说明</t>
        </is>
      </c>
      <c r="D4" s="7" t="n"/>
      <c r="E4" s="4" t="n"/>
      <c r="F4" s="3" t="inlineStr">
        <is>
          <t>产品标识</t>
        </is>
      </c>
      <c r="G4" s="5" t="inlineStr">
        <is>
          <t>STEP5</t>
        </is>
      </c>
      <c r="H4" s="7" t="n"/>
      <c r="I4" s="4" t="n"/>
      <c r="J4" s="3" t="inlineStr">
        <is>
          <t>产品版本</t>
        </is>
      </c>
      <c r="K4" s="5" t="inlineStr">
        <is>
          <t>V1.0</t>
        </is>
      </c>
      <c r="L4" s="4" t="n"/>
    </row>
    <row r="5" ht="36" customHeight="1">
      <c r="A5" s="8" t="inlineStr">
        <is>
          <t>序号</t>
        </is>
      </c>
      <c r="B5" s="8" t="inlineStr">
        <is>
          <t>审 核 内 容</t>
        </is>
      </c>
      <c r="C5" s="9" t="n"/>
      <c r="D5" s="9" t="n"/>
      <c r="E5" s="9" t="n"/>
      <c r="F5" s="10" t="n"/>
      <c r="G5" s="8" t="inlineStr">
        <is>
          <t>结论(填“✓”)</t>
        </is>
      </c>
      <c r="H5" s="7" t="n"/>
      <c r="I5" s="4" t="n"/>
      <c r="J5" s="8" t="inlineStr">
        <is>
          <t>严重程度
（轻微，一般，严重）</t>
        </is>
      </c>
      <c r="K5" s="10" t="n"/>
      <c r="L5" s="8" t="inlineStr">
        <is>
          <t>备注</t>
        </is>
      </c>
    </row>
    <row r="6" ht="36" customHeight="1">
      <c r="A6" s="11" t="n"/>
      <c r="B6" s="12" t="n"/>
      <c r="C6" s="13" t="n"/>
      <c r="D6" s="13" t="n"/>
      <c r="E6" s="13" t="n"/>
      <c r="F6" s="14" t="n"/>
      <c r="G6" s="8" t="inlineStr">
        <is>
          <t>是</t>
        </is>
      </c>
      <c r="H6" s="8" t="inlineStr">
        <is>
          <t>否</t>
        </is>
      </c>
      <c r="I6" s="8" t="inlineStr">
        <is>
          <t>不适用</t>
        </is>
      </c>
      <c r="J6" s="12" t="n"/>
      <c r="K6" s="14" t="n"/>
      <c r="L6" s="11" t="n"/>
    </row>
    <row r="7" ht="27" customHeight="1">
      <c r="A7" s="5" t="inlineStr">
        <is>
          <t>1</t>
        </is>
      </c>
      <c r="B7" s="15" t="inlineStr">
        <is>
          <t>是否符合有关模板的格式要求。</t>
        </is>
      </c>
      <c r="C7" s="7" t="n"/>
      <c r="D7" s="7" t="n"/>
      <c r="E7" s="7" t="n"/>
      <c r="F7" s="4" t="n"/>
      <c r="G7" s="5" t="n"/>
      <c r="H7" s="16" t="inlineStr">
        <is>
          <t>✓</t>
        </is>
      </c>
      <c r="I7" s="5" t="n"/>
      <c r="J7" s="16" t="inlineStr">
        <is>
          <t>一般</t>
        </is>
      </c>
      <c r="K7" s="4" t="n"/>
      <c r="L7" s="16" t="inlineStr">
        <is>
          <t>需求描述未完整覆盖已确认的项目约束。</t>
        </is>
      </c>
    </row>
    <row r="8" ht="40" customHeight="1">
      <c r="A8" s="5" t="inlineStr">
        <is>
          <t>2*</t>
        </is>
      </c>
      <c r="B8" s="15" t="inlineStr">
        <is>
          <t>需求描述是否清晰准确？各个需求之间是否存在冲突和矛盾，同一需求的描述是否始终一致。</t>
        </is>
      </c>
      <c r="C8" s="7" t="n"/>
      <c r="D8" s="7" t="n"/>
      <c r="E8" s="7" t="n"/>
      <c r="F8" s="4" t="n"/>
      <c r="G8" s="5" t="inlineStr">
        <is>
          <t>✓</t>
        </is>
      </c>
      <c r="H8" s="5" t="n"/>
      <c r="I8" s="5" t="n"/>
      <c r="J8" s="5" t="n"/>
      <c r="K8" s="4" t="n"/>
      <c r="L8" s="5" t="n"/>
    </row>
    <row r="9" ht="27" customHeight="1">
      <c r="A9" s="5" t="inlineStr">
        <is>
          <t>3</t>
        </is>
      </c>
      <c r="B9" s="15" t="inlineStr">
        <is>
          <t>是否明确定义了对外接口关系及接口内容？</t>
        </is>
      </c>
      <c r="C9" s="7" t="n"/>
      <c r="D9" s="7" t="n"/>
      <c r="E9" s="7" t="n"/>
      <c r="F9" s="4" t="n"/>
      <c r="G9" s="5" t="inlineStr">
        <is>
          <t>✓</t>
        </is>
      </c>
      <c r="H9" s="5" t="n"/>
      <c r="I9" s="5" t="n"/>
      <c r="J9" s="5" t="n"/>
      <c r="K9" s="4" t="n"/>
      <c r="L9" s="5" t="n"/>
    </row>
    <row r="10" ht="27" customHeight="1">
      <c r="A10" s="5" t="inlineStr">
        <is>
          <t>4</t>
        </is>
      </c>
      <c r="B10" s="15" t="inlineStr">
        <is>
          <t>是否明确定义了内部接口关系及接口内容？</t>
        </is>
      </c>
      <c r="C10" s="7" t="n"/>
      <c r="D10" s="7" t="n"/>
      <c r="E10" s="7" t="n"/>
      <c r="F10" s="4" t="n"/>
      <c r="G10" s="5" t="inlineStr">
        <is>
          <t>✓</t>
        </is>
      </c>
      <c r="H10" s="5" t="n"/>
      <c r="I10" s="5" t="n"/>
      <c r="J10" s="5" t="n"/>
      <c r="K10" s="4" t="n"/>
      <c r="L10" s="5" t="n"/>
    </row>
    <row r="11" ht="27" customHeight="1">
      <c r="A11" s="5" t="inlineStr">
        <is>
          <t>5</t>
        </is>
      </c>
      <c r="B11" s="15" t="inlineStr">
        <is>
          <t>是否明确定义了软件内部所有数据元素（包括数据库和数据文件）的需求？</t>
        </is>
      </c>
      <c r="C11" s="7" t="n"/>
      <c r="D11" s="7" t="n"/>
      <c r="E11" s="7" t="n"/>
      <c r="F11" s="4" t="n"/>
      <c r="G11" s="5" t="inlineStr">
        <is>
          <t>✓</t>
        </is>
      </c>
      <c r="H11" s="5" t="n"/>
      <c r="I11" s="5" t="n"/>
      <c r="J11" s="5" t="n"/>
      <c r="K11" s="4" t="n"/>
      <c r="L11" s="5" t="n"/>
    </row>
    <row r="12" ht="27" customHeight="1">
      <c r="A12" s="5" t="inlineStr">
        <is>
          <t>6*</t>
        </is>
      </c>
      <c r="B12" s="15" t="inlineStr">
        <is>
          <t>所有技术需求是否都具备可测试性？</t>
        </is>
      </c>
      <c r="C12" s="7" t="n"/>
      <c r="D12" s="7" t="n"/>
      <c r="E12" s="7" t="n"/>
      <c r="F12" s="4" t="n"/>
      <c r="G12" s="5" t="inlineStr">
        <is>
          <t>✓</t>
        </is>
      </c>
      <c r="H12" s="5" t="n"/>
      <c r="I12" s="5" t="n"/>
      <c r="J12" s="5" t="n"/>
      <c r="K12" s="4" t="n"/>
      <c r="L12" s="5" t="n"/>
    </row>
    <row r="13" ht="40" customHeight="1">
      <c r="A13" s="5" t="inlineStr">
        <is>
          <t>7</t>
        </is>
      </c>
      <c r="B13" s="15" t="inlineStr">
        <is>
          <t>是否准确说明CSCI适应性要求（即在进行安装和运行时系统环境变量参数要求）？</t>
        </is>
      </c>
      <c r="C13" s="7" t="n"/>
      <c r="D13" s="7" t="n"/>
      <c r="E13" s="7" t="n"/>
      <c r="F13" s="4" t="n"/>
      <c r="G13" s="5" t="inlineStr">
        <is>
          <t>✓</t>
        </is>
      </c>
      <c r="H13" s="5" t="n"/>
      <c r="I13" s="5" t="n"/>
      <c r="J13" s="5" t="n"/>
      <c r="K13" s="4" t="n"/>
      <c r="L13" s="5" t="n"/>
    </row>
    <row r="14" ht="27" customHeight="1">
      <c r="A14" s="5" t="inlineStr">
        <is>
          <t>8*</t>
        </is>
      </c>
      <c r="B14" s="15" t="inlineStr">
        <is>
          <t>是否正确描述了安全性要求，且合理可行和可验证？</t>
        </is>
      </c>
      <c r="C14" s="7" t="n"/>
      <c r="D14" s="7" t="n"/>
      <c r="E14" s="7" t="n"/>
      <c r="F14" s="4" t="n"/>
      <c r="G14" s="5" t="inlineStr">
        <is>
          <t>✓</t>
        </is>
      </c>
      <c r="H14" s="5" t="n"/>
      <c r="I14" s="5" t="n"/>
      <c r="J14" s="5" t="n"/>
      <c r="K14" s="4" t="n"/>
      <c r="L14" s="5" t="n"/>
    </row>
    <row r="15" ht="27" customHeight="1">
      <c r="A15" s="5" t="inlineStr">
        <is>
          <t>9*</t>
        </is>
      </c>
      <c r="B15" s="15" t="inlineStr">
        <is>
          <t>是否正确描述了保密性要求，且合理可行和可验证？</t>
        </is>
      </c>
      <c r="C15" s="7" t="n"/>
      <c r="D15" s="7" t="n"/>
      <c r="E15" s="7" t="n"/>
      <c r="F15" s="4" t="n"/>
      <c r="G15" s="5" t="inlineStr">
        <is>
          <t>✓</t>
        </is>
      </c>
      <c r="H15" s="5" t="n"/>
      <c r="I15" s="5" t="n"/>
      <c r="J15" s="5" t="n"/>
      <c r="K15" s="4" t="n"/>
      <c r="L15" s="5" t="n"/>
    </row>
    <row r="16" ht="40" customHeight="1">
      <c r="A16" s="5" t="inlineStr">
        <is>
          <t>10*</t>
        </is>
      </c>
      <c r="B16" s="15" t="inlineStr">
        <is>
          <t>是否完整、准确描述软件运行的计算机硬件和操作系统等环境需求且与软件研制任务书的要求一致?</t>
        </is>
      </c>
      <c r="C16" s="7" t="n"/>
      <c r="D16" s="7" t="n"/>
      <c r="E16" s="7" t="n"/>
      <c r="F16" s="4" t="n"/>
      <c r="G16" s="5" t="inlineStr">
        <is>
          <t>✓</t>
        </is>
      </c>
      <c r="H16" s="5" t="n"/>
      <c r="I16" s="5" t="n"/>
      <c r="J16" s="5" t="n"/>
      <c r="K16" s="4" t="n"/>
      <c r="L16" s="5" t="n"/>
    </row>
    <row r="17" ht="54" customHeight="1">
      <c r="A17" s="5" t="inlineStr">
        <is>
          <t>11*</t>
        </is>
      </c>
      <c r="B17" s="15" t="inlineStr">
        <is>
          <t>是否准确描述了软件研制任务书中对软件质量方面的要求（如：软件的功能性、可靠性、可维护性、可用性、灵活性、可移植性、可重用性、可测试性、易用性）且合理可行和可验证?</t>
        </is>
      </c>
      <c r="C17" s="7" t="n"/>
      <c r="D17" s="7" t="n"/>
      <c r="E17" s="7" t="n"/>
      <c r="F17" s="4" t="n"/>
      <c r="G17" s="5" t="inlineStr">
        <is>
          <t>✓</t>
        </is>
      </c>
      <c r="H17" s="5" t="n"/>
      <c r="I17" s="5" t="n"/>
      <c r="J17" s="5" t="n"/>
      <c r="K17" s="4" t="n"/>
      <c r="L17" s="5" t="n"/>
    </row>
    <row r="18" ht="40" customHeight="1">
      <c r="A18" s="5" t="inlineStr">
        <is>
          <t>12</t>
        </is>
      </c>
      <c r="B18" s="15" t="inlineStr">
        <is>
          <t>是否正确说明了CSCI对人员因素的工程需求（人的能力、限制、人为错误、环境影响）？</t>
        </is>
      </c>
      <c r="C18" s="7" t="n"/>
      <c r="D18" s="7" t="n"/>
      <c r="E18" s="7" t="n"/>
      <c r="F18" s="4" t="n"/>
      <c r="G18" s="5" t="inlineStr">
        <is>
          <t>✓</t>
        </is>
      </c>
      <c r="H18" s="5" t="n"/>
      <c r="I18" s="5" t="n"/>
      <c r="J18" s="5" t="n"/>
      <c r="K18" s="4" t="n"/>
      <c r="L18" s="5" t="n"/>
    </row>
    <row r="19" ht="27" customHeight="1">
      <c r="A19" s="5" t="inlineStr">
        <is>
          <t>13</t>
        </is>
      </c>
      <c r="B19" s="15" t="inlineStr">
        <is>
          <t>是否正确地提出了为用户提供的软件培训的需求？</t>
        </is>
      </c>
      <c r="C19" s="7" t="n"/>
      <c r="D19" s="7" t="n"/>
      <c r="E19" s="7" t="n"/>
      <c r="F19" s="4" t="n"/>
      <c r="G19" s="5" t="inlineStr">
        <is>
          <t>✓</t>
        </is>
      </c>
      <c r="H19" s="5" t="n"/>
      <c r="I19" s="5" t="n"/>
      <c r="J19" s="5" t="n"/>
      <c r="K19" s="4" t="n"/>
      <c r="L19" s="5" t="n"/>
    </row>
    <row r="20" ht="27" customHeight="1">
      <c r="A20" s="5" t="inlineStr">
        <is>
          <t>14</t>
        </is>
      </c>
      <c r="B20" s="15" t="inlineStr">
        <is>
          <t>是否准确说明了有关软件交付用户方面的要求？</t>
        </is>
      </c>
      <c r="C20" s="7" t="n"/>
      <c r="D20" s="7" t="n"/>
      <c r="E20" s="7" t="n"/>
      <c r="F20" s="4" t="n"/>
      <c r="G20" s="5" t="inlineStr">
        <is>
          <t>✓</t>
        </is>
      </c>
      <c r="H20" s="5" t="n"/>
      <c r="I20" s="5" t="n"/>
      <c r="J20" s="5" t="n"/>
      <c r="K20" s="4" t="n"/>
      <c r="L20" s="5" t="n"/>
    </row>
    <row r="21" ht="27" customHeight="1">
      <c r="A21" s="5" t="inlineStr">
        <is>
          <t>15</t>
        </is>
      </c>
      <c r="B21" s="15" t="inlineStr">
        <is>
          <t>是否说明了软件介质的标识、封装、防震等包装方面需？</t>
        </is>
      </c>
      <c r="C21" s="7" t="n"/>
      <c r="D21" s="7" t="n"/>
      <c r="E21" s="7" t="n"/>
      <c r="F21" s="4" t="n"/>
      <c r="G21" s="5" t="inlineStr">
        <is>
          <t>✓</t>
        </is>
      </c>
      <c r="H21" s="5" t="n"/>
      <c r="I21" s="5" t="n"/>
      <c r="J21" s="5" t="n"/>
      <c r="K21" s="4" t="n"/>
      <c r="L21" s="5" t="n"/>
    </row>
    <row r="22" ht="27" customHeight="1">
      <c r="A22" s="5" t="inlineStr">
        <is>
          <t>16</t>
        </is>
      </c>
      <c r="B22" s="15" t="inlineStr">
        <is>
          <t>是否明确定义了软件的安全关键等级?</t>
        </is>
      </c>
      <c r="C22" s="7" t="n"/>
      <c r="D22" s="7" t="n"/>
      <c r="E22" s="7" t="n"/>
      <c r="F22" s="4" t="n"/>
      <c r="G22" s="5" t="inlineStr">
        <is>
          <t>✓</t>
        </is>
      </c>
      <c r="H22" s="5" t="n"/>
      <c r="I22" s="5" t="n"/>
      <c r="J22" s="5" t="n"/>
      <c r="K22" s="4" t="n"/>
      <c r="L22" s="5" t="n"/>
    </row>
    <row r="23" ht="27" customHeight="1">
      <c r="A23" s="5" t="inlineStr">
        <is>
          <t>17</t>
        </is>
      </c>
      <c r="B23" s="15" t="inlineStr">
        <is>
          <t>是否完整、准确地说明了已定义的软件需求的合格性审查方法？</t>
        </is>
      </c>
      <c r="C23" s="7" t="n"/>
      <c r="D23" s="7" t="n"/>
      <c r="E23" s="7" t="n"/>
      <c r="F23" s="4" t="n"/>
      <c r="G23" s="5" t="inlineStr">
        <is>
          <t>✓</t>
        </is>
      </c>
      <c r="H23" s="5" t="n"/>
      <c r="I23" s="5" t="n"/>
      <c r="J23" s="5" t="n"/>
      <c r="K23" s="4" t="n"/>
      <c r="L23" s="5" t="n"/>
    </row>
    <row r="24" ht="27" customHeight="1">
      <c r="A24" s="5" t="inlineStr">
        <is>
          <t>18*</t>
        </is>
      </c>
      <c r="B24" s="15" t="inlineStr">
        <is>
          <t>软件设计约束条件是否与软件研制任务书一致？</t>
        </is>
      </c>
      <c r="C24" s="7" t="n"/>
      <c r="D24" s="7" t="n"/>
      <c r="E24" s="7" t="n"/>
      <c r="F24" s="4" t="n"/>
      <c r="G24" s="5" t="inlineStr">
        <is>
          <t>✓</t>
        </is>
      </c>
      <c r="H24" s="5" t="n"/>
      <c r="I24" s="5" t="n"/>
      <c r="J24" s="5" t="n"/>
      <c r="K24" s="4" t="n"/>
      <c r="L24" s="5" t="n"/>
    </row>
    <row r="25" ht="40" customHeight="1">
      <c r="A25" s="5" t="inlineStr">
        <is>
          <t>19*</t>
        </is>
      </c>
      <c r="B25" s="15" t="inlineStr">
        <is>
          <t>是否完整、准确地建立了已定义的CSCI需求与上级需求的映射关系，建立需求跟踪表？</t>
        </is>
      </c>
      <c r="C25" s="7" t="n"/>
      <c r="D25" s="7" t="n"/>
      <c r="E25" s="7" t="n"/>
      <c r="F25" s="4" t="n"/>
      <c r="G25" s="5" t="inlineStr">
        <is>
          <t>✓</t>
        </is>
      </c>
      <c r="H25" s="5" t="n"/>
      <c r="I25" s="5" t="n"/>
      <c r="J25" s="5" t="n"/>
      <c r="K25" s="4" t="n"/>
      <c r="L25" s="5" t="n"/>
    </row>
    <row r="26" ht="27" customHeight="1">
      <c r="A26" s="17" t="inlineStr">
        <is>
          <t>说明：</t>
        </is>
      </c>
    </row>
    <row r="27" ht="40" customHeight="1">
      <c r="A27" s="18" t="inlineStr">
        <is>
          <t>1) 带有*的检查项，如果审核结论为“否”，则为严重不符合项；无*的检查项，如果审核结论为“否”，则为一般不符合项。</t>
        </is>
      </c>
    </row>
    <row r="28" ht="27" customHeight="1">
      <c r="A28" s="18" t="inlineStr">
        <is>
          <t>2) 可根据项目特点增加检查项。</t>
        </is>
      </c>
    </row>
  </sheetData>
  <sheetProtection selectLockedCells="0" selectUnlockedCells="1" sheet="1" objects="0" insertRows="1" insertHyperlinks="1" autoFilter="1" scenarios="0" formatColumns="1" deleteColumns="1" insertColumns="1" pivotTables="1" deleteRows="1" formatCells="1" formatRows="1" sort="1"/>
  <mergeCells count="55">
    <mergeCell ref="B7:F7"/>
    <mergeCell ref="B16:F16"/>
    <mergeCell ref="J14:K14"/>
    <mergeCell ref="B25:F25"/>
    <mergeCell ref="J10:K10"/>
    <mergeCell ref="J19:K19"/>
    <mergeCell ref="G3:I3"/>
    <mergeCell ref="B22:F22"/>
    <mergeCell ref="A27:L27"/>
    <mergeCell ref="J13:K13"/>
    <mergeCell ref="B18:F18"/>
    <mergeCell ref="J9:K9"/>
    <mergeCell ref="A26:L26"/>
    <mergeCell ref="B21:F21"/>
    <mergeCell ref="A2:L2"/>
    <mergeCell ref="B12:F12"/>
    <mergeCell ref="L5:L6"/>
    <mergeCell ref="J17:K17"/>
    <mergeCell ref="G5:I5"/>
    <mergeCell ref="J24:K24"/>
    <mergeCell ref="B11:F11"/>
    <mergeCell ref="J15:K15"/>
    <mergeCell ref="B5:F6"/>
    <mergeCell ref="G4:I4"/>
    <mergeCell ref="B23:F23"/>
    <mergeCell ref="B8:F8"/>
    <mergeCell ref="B14:F14"/>
    <mergeCell ref="J5:K6"/>
    <mergeCell ref="A3:B3"/>
    <mergeCell ref="B17:F17"/>
    <mergeCell ref="B13:F13"/>
    <mergeCell ref="A5:A6"/>
    <mergeCell ref="J11:K11"/>
    <mergeCell ref="J20:K20"/>
    <mergeCell ref="B10:F10"/>
    <mergeCell ref="J16:K16"/>
    <mergeCell ref="A28:L28"/>
    <mergeCell ref="J7:K7"/>
    <mergeCell ref="B19:F19"/>
    <mergeCell ref="J25:K25"/>
    <mergeCell ref="J22:K22"/>
    <mergeCell ref="B9:F9"/>
    <mergeCell ref="A4:B4"/>
    <mergeCell ref="J21:K21"/>
    <mergeCell ref="J12:K12"/>
    <mergeCell ref="B24:F24"/>
    <mergeCell ref="B20:F20"/>
    <mergeCell ref="B15:F15"/>
    <mergeCell ref="A1:L1"/>
    <mergeCell ref="C4:E4"/>
    <mergeCell ref="J18:K18"/>
    <mergeCell ref="J23:K23"/>
    <mergeCell ref="K4:L4"/>
    <mergeCell ref="J8:K8"/>
    <mergeCell ref="K3:L3"/>
  </mergeCells>
  <dataValidations count="2">
    <dataValidation sqref="H7" showDropDown="0" showInputMessage="0" showErrorMessage="0" allowBlank="1" type="list">
      <formula1>"✓,"</formula1>
    </dataValidation>
    <dataValidation sqref="J7" showDropDown="0" showInputMessage="0" showErrorMessage="0" allowBlank="0" type="list">
      <formula1>"轻微,一般,严重"</formula1>
    </dataValidation>
  </dataValidations>
  <pageMargins left="0.25" right="0.25" top="0.35" bottom="0.35" header="0.5" footer="0.5"/>
  <pageSetup orientation="landscape" paperSize="9" fitToHeight="0"/>
</worksheet>
</file>

<file path=xl/worksheets/sheet2.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10" defaultColWidth="9" defaultRowHeight="14"/>
  <cols>
    <col width="1.1640625" customWidth="1" min="1" max="1"/>
    <col width="8.1640625" customWidth="1" min="2" max="2"/>
    <col width="9" customWidth="1" min="3" max="4"/>
    <col width="5" customWidth="1" min="5" max="5"/>
    <col width="9" customWidth="1" min="6" max="6"/>
    <col width="7.83203125" customWidth="1" min="7" max="7"/>
    <col width="10.33203125" customWidth="1" min="8" max="8"/>
    <col width="13" customWidth="1" min="9" max="9"/>
    <col width="9" customWidth="1" min="10" max="10"/>
    <col width="11.33203125" customWidth="1" min="11" max="11"/>
    <col width="9" customWidth="1" min="12" max="16384"/>
  </cols>
  <sheetData>
    <row r="1" ht="28.25" customHeight="1">
      <c r="B1" s="19" t="inlineStr">
        <is>
          <t>过程/产品审核报告</t>
        </is>
      </c>
    </row>
    <row r="2" ht="28.25" customHeight="1">
      <c r="B2" s="20" t="inlineStr">
        <is>
          <t>编号：ZDPX-STEP5/0.0-QA-审核报告-001</t>
        </is>
      </c>
    </row>
    <row r="3" ht="25" customHeight="1">
      <c r="B3" s="21" t="inlineStr">
        <is>
          <t>项目名称</t>
        </is>
      </c>
      <c r="C3" s="22" t="inlineStr">
        <is>
          <t>QualityM Step 5 技术原型</t>
        </is>
      </c>
      <c r="D3" s="23" t="n"/>
      <c r="E3" s="23" t="n"/>
      <c r="F3" s="23" t="n"/>
      <c r="G3" s="24" t="n"/>
      <c r="H3" s="25" t="inlineStr">
        <is>
          <t>所处阶段</t>
        </is>
      </c>
      <c r="I3" s="22" t="inlineStr">
        <is>
          <t>软件需求分析</t>
        </is>
      </c>
      <c r="J3" s="23" t="n"/>
      <c r="K3" s="24" t="n"/>
    </row>
    <row r="4" ht="25" customHeight="1">
      <c r="B4" s="26" t="inlineStr">
        <is>
          <t>审核对象（过程名称/产品名称）</t>
        </is>
      </c>
      <c r="C4" s="27" t="n"/>
      <c r="D4" s="27" t="n"/>
      <c r="E4" s="28" t="n"/>
      <c r="F4" s="29" t="inlineStr">
        <is>
          <t>软件需求规格说明</t>
        </is>
      </c>
      <c r="G4" s="27" t="n"/>
      <c r="H4" s="27" t="n"/>
      <c r="I4" s="27" t="n"/>
      <c r="J4" s="27" t="n"/>
      <c r="K4" s="30" t="n"/>
    </row>
    <row r="5" ht="25" customHeight="1">
      <c r="B5" s="26" t="inlineStr">
        <is>
          <t>审核人</t>
        </is>
      </c>
      <c r="C5" s="31" t="inlineStr">
        <is>
          <t>项目QA</t>
        </is>
      </c>
      <c r="D5" s="27" t="n"/>
      <c r="E5" s="28" t="n"/>
      <c r="F5" s="32" t="inlineStr">
        <is>
          <t>审核日期</t>
        </is>
      </c>
      <c r="G5" s="28" t="n"/>
      <c r="H5" s="33" t="n">
        <v>46248</v>
      </c>
      <c r="I5" s="27" t="n"/>
      <c r="J5" s="27" t="n"/>
      <c r="K5" s="30" t="n"/>
    </row>
    <row r="6" ht="25" customHeight="1">
      <c r="B6" s="26" t="inlineStr">
        <is>
          <t>审核依据</t>
        </is>
      </c>
      <c r="C6" s="34" t="inlineStr">
        <is>
          <t>ZDPX-STEP5/0.0-QA-检查单-001</t>
        </is>
      </c>
      <c r="D6" s="27" t="n"/>
      <c r="E6" s="27" t="n"/>
      <c r="F6" s="27" t="n"/>
      <c r="G6" s="27" t="n"/>
      <c r="H6" s="27" t="n"/>
      <c r="I6" s="27" t="n"/>
      <c r="J6" s="27" t="n"/>
      <c r="K6" s="28" t="n"/>
    </row>
    <row r="7" ht="25" customHeight="1">
      <c r="B7" s="26" t="inlineStr">
        <is>
          <t>审核内容概述：</t>
        </is>
      </c>
      <c r="C7" s="27" t="n"/>
      <c r="D7" s="27" t="n"/>
      <c r="E7" s="27" t="n"/>
      <c r="F7" s="27" t="n"/>
      <c r="G7" s="27" t="n"/>
      <c r="H7" s="27" t="n"/>
      <c r="I7" s="27" t="n"/>
      <c r="J7" s="27" t="n"/>
      <c r="K7" s="28" t="n"/>
    </row>
    <row r="8" ht="102.75" customHeight="1">
      <c r="B8" s="35" t="inlineStr">
        <is>
          <t>本次审核依据对应检查单执行；不符合项由检查单公式联动生成。</t>
        </is>
      </c>
      <c r="C8" s="27" t="n"/>
      <c r="D8" s="27" t="n"/>
      <c r="E8" s="27" t="n"/>
      <c r="F8" s="27" t="n"/>
      <c r="G8" s="27" t="n"/>
      <c r="H8" s="27" t="n"/>
      <c r="I8" s="27" t="n"/>
      <c r="J8" s="27" t="n"/>
      <c r="K8" s="28" t="n"/>
    </row>
    <row r="9" ht="25" customHeight="1">
      <c r="B9" s="36" t="inlineStr">
        <is>
          <t>按严重程度统计NC</t>
        </is>
      </c>
      <c r="C9" s="37" t="n"/>
      <c r="D9" s="38" t="inlineStr">
        <is>
          <t>NC总数</t>
        </is>
      </c>
      <c r="E9" s="28" t="n"/>
      <c r="F9" s="38" t="inlineStr">
        <is>
          <t>轻 微</t>
        </is>
      </c>
      <c r="G9" s="28" t="n"/>
      <c r="H9" s="38" t="inlineStr">
        <is>
          <t>一 般</t>
        </is>
      </c>
      <c r="I9" s="28" t="n"/>
      <c r="J9" s="39" t="inlineStr">
        <is>
          <t>严 重</t>
        </is>
      </c>
      <c r="K9" s="30" t="n"/>
    </row>
    <row r="10" ht="25" customHeight="1">
      <c r="B10" s="40" t="n"/>
      <c r="C10" s="41" t="n"/>
      <c r="D10" s="38">
        <f>COUNTIF(C13:C16,"?*")</f>
        <v/>
      </c>
      <c r="E10" s="28" t="n"/>
      <c r="F10" s="31">
        <f>COUNTIF(F13:F16,"轻微")</f>
        <v/>
      </c>
      <c r="G10" s="28" t="n"/>
      <c r="H10" s="31">
        <f>COUNTIF(F13:F16,"一般")</f>
        <v/>
      </c>
      <c r="I10" s="28" t="n"/>
      <c r="J10" s="42">
        <f>COUNTIF(F13:F16,"严重")</f>
        <v/>
      </c>
      <c r="K10" s="30" t="n"/>
    </row>
    <row r="11" ht="25" customHeight="1">
      <c r="B11" s="26" t="inlineStr">
        <is>
          <t>不符合项问题（NC）列表</t>
        </is>
      </c>
      <c r="C11" s="27" t="n"/>
      <c r="D11" s="27" t="n"/>
      <c r="E11" s="27" t="n"/>
      <c r="F11" s="27" t="n"/>
      <c r="G11" s="27" t="n"/>
      <c r="H11" s="27" t="n"/>
      <c r="I11" s="27" t="n"/>
      <c r="J11" s="27" t="n"/>
      <c r="K11" s="28" t="n"/>
    </row>
    <row r="12" ht="25" customHeight="1">
      <c r="B12" s="36" t="inlineStr">
        <is>
          <t>序 号</t>
        </is>
      </c>
      <c r="C12" s="38" t="inlineStr">
        <is>
          <t>问题描述</t>
        </is>
      </c>
      <c r="D12" s="27" t="n"/>
      <c r="E12" s="28" t="n"/>
      <c r="F12" s="38" t="inlineStr">
        <is>
          <t>严重程度</t>
        </is>
      </c>
      <c r="G12" s="38" t="inlineStr">
        <is>
          <t>责任人</t>
        </is>
      </c>
      <c r="H12" s="38" t="inlineStr">
        <is>
          <t>提交日期</t>
        </is>
      </c>
      <c r="I12" s="38" t="inlineStr">
        <is>
          <t>计划关闭日期</t>
        </is>
      </c>
      <c r="J12" s="38" t="inlineStr">
        <is>
          <t>纠正措施</t>
        </is>
      </c>
      <c r="K12" s="28" t="n"/>
    </row>
    <row r="13" ht="88.25" customHeight="1">
      <c r="B13" s="43">
        <f>IF(C13="","",1)</f>
        <v/>
      </c>
      <c r="C13" s="44">
        <f>IF('软件需求规格说明检查单'!$H$7="✓",'软件需求规格说明检查单'!$L$7,"")</f>
        <v/>
      </c>
      <c r="D13" s="27" t="n"/>
      <c r="E13" s="28" t="n"/>
      <c r="F13" s="45">
        <f>IF(C13="","",'软件需求规格说明检查单'!$J$7)</f>
        <v/>
      </c>
      <c r="G13" s="45" t="inlineStr">
        <is>
          <t>项目组长</t>
        </is>
      </c>
      <c r="H13" s="46" t="n">
        <v>46248</v>
      </c>
      <c r="I13" s="46" t="n">
        <v>46248</v>
      </c>
      <c r="J13" s="47" t="inlineStr">
        <is>
          <t>补充缺失约束并完成一致性复核。</t>
        </is>
      </c>
      <c r="K13" s="30" t="n"/>
    </row>
    <row r="14" ht="44" customHeight="1">
      <c r="B14" s="43" t="n"/>
      <c r="C14" s="44" t="n"/>
      <c r="D14" s="27" t="n"/>
      <c r="E14" s="28" t="n"/>
      <c r="F14" s="45" t="n"/>
      <c r="G14" s="45" t="n"/>
      <c r="H14" s="46" t="n"/>
      <c r="I14" s="46" t="n"/>
      <c r="J14" s="47" t="n"/>
      <c r="K14" s="30" t="n"/>
    </row>
    <row r="15" ht="41.5" customHeight="1">
      <c r="B15" s="43" t="n"/>
      <c r="C15" s="44" t="n"/>
      <c r="D15" s="27" t="n"/>
      <c r="E15" s="28" t="n"/>
      <c r="F15" s="45" t="n"/>
      <c r="G15" s="45" t="n"/>
      <c r="H15" s="46" t="n"/>
      <c r="I15" s="46" t="n"/>
      <c r="J15" s="47" t="n"/>
      <c r="K15" s="30" t="n"/>
    </row>
    <row r="16" ht="50.25" customHeight="1">
      <c r="B16" s="43" t="n"/>
      <c r="C16" s="44" t="n"/>
      <c r="D16" s="27" t="n"/>
      <c r="E16" s="28" t="n"/>
      <c r="F16" s="45" t="n"/>
      <c r="G16" s="45" t="n"/>
      <c r="H16" s="46" t="n"/>
      <c r="I16" s="46" t="n"/>
      <c r="J16" s="47" t="n"/>
      <c r="K16" s="30" t="n"/>
    </row>
    <row r="17" ht="28.25" customHeight="1">
      <c r="B17" s="26" t="inlineStr">
        <is>
          <t>纠正措施验证情况：</t>
        </is>
      </c>
      <c r="C17" s="27" t="n"/>
      <c r="D17" s="27" t="n"/>
      <c r="E17" s="27" t="n"/>
      <c r="F17" s="27" t="n"/>
      <c r="G17" s="27" t="n"/>
      <c r="H17" s="27" t="n"/>
      <c r="I17" s="27" t="n"/>
      <c r="J17" s="27" t="n"/>
      <c r="K17" s="28" t="n"/>
    </row>
    <row r="18" ht="77.25" customHeight="1">
      <c r="B18" s="48" t="inlineStr">
        <is>
          <t>纠正措施已实施，验证结果以导出快照为准。
验证人/日期：</t>
        </is>
      </c>
      <c r="C18" s="49" t="n"/>
      <c r="D18" s="49" t="n"/>
      <c r="E18" s="49" t="n"/>
      <c r="F18" s="49" t="n"/>
      <c r="G18" s="49" t="n"/>
      <c r="H18" s="49" t="n"/>
      <c r="I18" s="49" t="n"/>
      <c r="J18" s="49" t="n"/>
      <c r="K18" s="50" t="n"/>
    </row>
    <row r="19" ht="15" customHeight="1"/>
    <row r="20"/>
    <row r="21"/>
    <row r="22"/>
    <row r="23"/>
    <row r="24"/>
    <row r="25"/>
    <row r="26"/>
    <row r="27"/>
    <row r="28"/>
    <row r="29"/>
    <row r="30"/>
    <row r="31"/>
    <row r="32"/>
    <row r="33"/>
    <row r="34"/>
    <row r="35"/>
    <row r="36"/>
    <row r="37"/>
    <row r="38"/>
    <row r="39"/>
    <row r="40">
      <c r="I40" s="51" t="n"/>
    </row>
  </sheetData>
  <mergeCells count="34">
    <mergeCell ref="C16:E16"/>
    <mergeCell ref="D10:E10"/>
    <mergeCell ref="F10:G10"/>
    <mergeCell ref="H10:I10"/>
    <mergeCell ref="J14:K14"/>
    <mergeCell ref="J10:K10"/>
    <mergeCell ref="I3:K3"/>
    <mergeCell ref="J13:K13"/>
    <mergeCell ref="C12:E12"/>
    <mergeCell ref="H9:I9"/>
    <mergeCell ref="B9:C10"/>
    <mergeCell ref="H5:K5"/>
    <mergeCell ref="J9:K9"/>
    <mergeCell ref="B4:E4"/>
    <mergeCell ref="F5:G5"/>
    <mergeCell ref="J15:K15"/>
    <mergeCell ref="B7:K7"/>
    <mergeCell ref="C13:E13"/>
    <mergeCell ref="B18:K18"/>
    <mergeCell ref="J16:K16"/>
    <mergeCell ref="F4:K4"/>
    <mergeCell ref="B2:K2"/>
    <mergeCell ref="D9:E9"/>
    <mergeCell ref="C15:E15"/>
    <mergeCell ref="B11:K11"/>
    <mergeCell ref="F9:G9"/>
    <mergeCell ref="C6:K6"/>
    <mergeCell ref="C14:E14"/>
    <mergeCell ref="B1:K1"/>
    <mergeCell ref="B8:K8"/>
    <mergeCell ref="C5:E5"/>
    <mergeCell ref="J12:K12"/>
    <mergeCell ref="B17:K17"/>
    <mergeCell ref="C3:G3"/>
  </mergeCells>
  <pageMargins left="0.25" right="0.25" top="0.75" bottom="0.75" header="0.3" footer="0.3"/>
  <pageSetup orientation="portrait" paperSize="9"/>
</worksheet>
</file>

<file path=xl/worksheets/sheet3.xml><?xml version="1.0" encoding="utf-8"?>
<worksheet xmlns="http://schemas.openxmlformats.org/spreadsheetml/2006/main">
  <sheetPr>
    <outlinePr summaryBelow="1" summaryRight="1"/>
    <pageSetUpPr fitToPage="1"/>
  </sheetPr>
  <dimension ref="A1:N104"/>
  <sheetViews>
    <sheetView workbookViewId="0">
      <selection activeCell="A1" sqref="A1"/>
    </sheetView>
  </sheetViews>
  <sheetFormatPr baseColWidth="10" defaultColWidth="9" defaultRowHeight="19.75" customHeight="1"/>
  <cols>
    <col width="9.6640625" customWidth="1" min="1" max="1"/>
    <col width="9.6640625" customWidth="1" min="2" max="2"/>
    <col width="9.5" customWidth="1" min="3" max="3"/>
    <col width="9.33203125" customWidth="1" min="4" max="4"/>
    <col width="10.33203125" bestFit="1" customWidth="1" min="5" max="5"/>
    <col width="8.1640625" customWidth="1" min="6" max="7"/>
    <col width="9.6640625" customWidth="1" min="8" max="8"/>
    <col width="11.6640625" customWidth="1" min="9" max="9"/>
    <col width="10.83203125" customWidth="1" min="10" max="10"/>
    <col width="9.5" customWidth="1" min="11" max="11"/>
    <col width="12.6640625" customWidth="1" min="12" max="12"/>
    <col width="12.33203125" customWidth="1" min="13" max="13"/>
    <col width="9" customWidth="1" min="14" max="16384"/>
  </cols>
  <sheetData>
    <row r="1" ht="30" customHeight="1">
      <c r="A1" s="52" t="inlineStr">
        <is>
          <t>质量审核工作报告</t>
        </is>
      </c>
    </row>
    <row r="2" ht="19.75" customHeight="1">
      <c r="A2" s="53" t="inlineStr">
        <is>
          <t>编号：ZDPX-STEP5/0.0-QA-质量报告-001</t>
        </is>
      </c>
    </row>
    <row r="3" ht="19.75" customHeight="1">
      <c r="A3" s="54" t="inlineStr">
        <is>
          <t>项目名称</t>
        </is>
      </c>
      <c r="B3" s="55" t="inlineStr">
        <is>
          <t>QualityM Step 5 技术原型</t>
        </is>
      </c>
      <c r="C3" s="56" t="n"/>
      <c r="D3" s="56" t="n"/>
      <c r="E3" s="56" t="n"/>
      <c r="F3" s="56" t="n"/>
      <c r="G3" s="56" t="n"/>
      <c r="H3" s="56" t="n"/>
      <c r="I3" s="56" t="n"/>
      <c r="J3" s="56" t="n"/>
      <c r="K3" s="56" t="n"/>
      <c r="L3" s="57" t="n"/>
    </row>
    <row r="4" ht="19.75" customHeight="1">
      <c r="A4" s="58" t="inlineStr">
        <is>
          <t>报告阶段</t>
        </is>
      </c>
      <c r="B4" s="59" t="inlineStr">
        <is>
          <t>软件需求分析</t>
        </is>
      </c>
      <c r="C4" s="28" t="n"/>
      <c r="D4" s="60" t="inlineStr">
        <is>
          <t>报告起止日期</t>
        </is>
      </c>
      <c r="E4" s="28" t="n"/>
      <c r="F4" s="61" t="n">
        <v>46248</v>
      </c>
      <c r="G4" s="27" t="n"/>
      <c r="H4" s="27" t="n"/>
      <c r="I4" s="28" t="n"/>
      <c r="J4" s="62" t="inlineStr">
        <is>
          <t>项目QA</t>
        </is>
      </c>
      <c r="K4" s="59" t="inlineStr">
        <is>
          <t>项目QA</t>
        </is>
      </c>
      <c r="L4" s="28" t="n"/>
      <c r="M4" s="63" t="n"/>
    </row>
    <row r="5" ht="19.75" customHeight="1">
      <c r="A5" s="64" t="inlineStr">
        <is>
          <t>审核情况汇总</t>
        </is>
      </c>
      <c r="B5" s="27" t="n"/>
      <c r="C5" s="27" t="n"/>
      <c r="D5" s="27" t="n"/>
      <c r="E5" s="27" t="n"/>
      <c r="F5" s="27" t="n"/>
      <c r="G5" s="27" t="n"/>
      <c r="H5" s="27" t="n"/>
      <c r="I5" s="27" t="n"/>
      <c r="J5" s="27" t="n"/>
      <c r="K5" s="27" t="n"/>
      <c r="L5" s="65" t="n"/>
      <c r="M5" s="63" t="n"/>
      <c r="N5" s="63" t="n"/>
    </row>
    <row r="6" ht="19.75" customHeight="1">
      <c r="A6" s="66" t="inlineStr">
        <is>
          <t>审核过程/产品名称</t>
        </is>
      </c>
      <c r="B6" s="28" t="n"/>
      <c r="C6" s="67">
        <f>'001产品审核报告-需求规格'!$F$4</f>
        <v/>
      </c>
      <c r="D6" s="27" t="n"/>
      <c r="E6" s="27" t="n"/>
      <c r="F6" s="27" t="n"/>
      <c r="G6" s="27" t="n"/>
      <c r="H6" s="27" t="n"/>
      <c r="I6" s="27" t="n"/>
      <c r="J6" s="28" t="n"/>
      <c r="K6" s="68" t="inlineStr">
        <is>
          <t>审核时间</t>
        </is>
      </c>
      <c r="L6" s="69">
        <f>'001产品审核报告-需求规格'!$H$5</f>
        <v/>
      </c>
    </row>
    <row r="7" ht="19.75" customHeight="1">
      <c r="A7" s="70" t="inlineStr">
        <is>
          <t>不符合项列表</t>
        </is>
      </c>
      <c r="B7" s="27" t="n"/>
      <c r="C7" s="27" t="n"/>
      <c r="D7" s="27" t="n"/>
      <c r="E7" s="27" t="n"/>
      <c r="F7" s="27" t="n"/>
      <c r="G7" s="27" t="n"/>
      <c r="H7" s="27" t="n"/>
      <c r="I7" s="28" t="n"/>
      <c r="J7" s="71" t="inlineStr">
        <is>
          <t>NC类型</t>
        </is>
      </c>
      <c r="K7" s="68" t="inlineStr">
        <is>
          <t>严重程度</t>
        </is>
      </c>
      <c r="L7" s="72" t="inlineStr">
        <is>
          <t>是否关闭</t>
        </is>
      </c>
    </row>
    <row r="8" ht="19.75" customHeight="1">
      <c r="A8" s="59">
        <f>IF('001产品审核报告-需求规格'!$B$13="","",'001产品审核报告-需求规格'!$B$13)</f>
        <v/>
      </c>
      <c r="B8" s="44">
        <f>IF('001产品审核报告-需求规格'!$C$13="","",'001产品审核报告-需求规格'!$C$13)</f>
        <v/>
      </c>
      <c r="C8" s="27" t="n"/>
      <c r="D8" s="27" t="n"/>
      <c r="E8" s="27" t="n"/>
      <c r="F8" s="27" t="n"/>
      <c r="G8" s="27" t="n"/>
      <c r="H8" s="27" t="n"/>
      <c r="I8" s="28" t="n"/>
      <c r="J8" s="73" t="inlineStr">
        <is>
          <t>工作产品</t>
        </is>
      </c>
      <c r="K8" s="73">
        <f>IF($B$8="","",'001产品审核报告-需求规格'!$F$13)</f>
        <v/>
      </c>
      <c r="L8" s="74" t="inlineStr">
        <is>
          <t>是</t>
        </is>
      </c>
    </row>
    <row r="9" hidden="1" ht="19.75" customHeight="1">
      <c r="A9" s="59" t="n"/>
      <c r="B9" s="44" t="n"/>
      <c r="C9" s="27" t="n"/>
      <c r="D9" s="27" t="n"/>
      <c r="E9" s="27" t="n"/>
      <c r="F9" s="27" t="n"/>
      <c r="G9" s="27" t="n"/>
      <c r="H9" s="27" t="n"/>
      <c r="I9" s="28" t="n"/>
      <c r="J9" s="73" t="n"/>
      <c r="K9" s="73" t="n"/>
      <c r="L9" s="74" t="n"/>
    </row>
    <row r="10" hidden="1" ht="19.75" customHeight="1">
      <c r="A10" s="66" t="n"/>
      <c r="B10" s="28" t="n"/>
      <c r="C10" s="67" t="n"/>
      <c r="D10" s="27" t="n"/>
      <c r="E10" s="27" t="n"/>
      <c r="F10" s="27" t="n"/>
      <c r="G10" s="27" t="n"/>
      <c r="H10" s="27" t="n"/>
      <c r="I10" s="27" t="n"/>
      <c r="J10" s="28" t="n"/>
      <c r="K10" s="68" t="n"/>
      <c r="L10" s="69" t="n"/>
    </row>
    <row r="11" hidden="1" ht="19.75" customHeight="1">
      <c r="A11" s="70" t="n"/>
      <c r="B11" s="27" t="n"/>
      <c r="C11" s="27" t="n"/>
      <c r="D11" s="27" t="n"/>
      <c r="E11" s="27" t="n"/>
      <c r="F11" s="27" t="n"/>
      <c r="G11" s="27" t="n"/>
      <c r="H11" s="27" t="n"/>
      <c r="I11" s="28" t="n"/>
      <c r="J11" s="71" t="n"/>
      <c r="K11" s="68" t="n"/>
      <c r="L11" s="72" t="n"/>
    </row>
    <row r="12" hidden="1" ht="24" customHeight="1">
      <c r="A12" s="59" t="n"/>
      <c r="B12" s="44" t="n"/>
      <c r="C12" s="27" t="n"/>
      <c r="D12" s="27" t="n"/>
      <c r="E12" s="27" t="n"/>
      <c r="F12" s="27" t="n"/>
      <c r="G12" s="27" t="n"/>
      <c r="H12" s="27" t="n"/>
      <c r="I12" s="28" t="n"/>
      <c r="J12" s="73" t="n"/>
      <c r="K12" s="73" t="n"/>
      <c r="L12" s="74" t="n"/>
    </row>
    <row r="13" hidden="1" ht="30" customHeight="1">
      <c r="A13" s="59" t="n"/>
      <c r="B13" s="44" t="n"/>
      <c r="C13" s="27" t="n"/>
      <c r="D13" s="27" t="n"/>
      <c r="E13" s="27" t="n"/>
      <c r="F13" s="27" t="n"/>
      <c r="G13" s="27" t="n"/>
      <c r="H13" s="27" t="n"/>
      <c r="I13" s="28" t="n"/>
      <c r="J13" s="73" t="n"/>
      <c r="K13" s="73" t="n"/>
      <c r="L13" s="74" t="n"/>
    </row>
    <row r="14" hidden="1" ht="19.5" customHeight="1">
      <c r="A14" s="66" t="n"/>
      <c r="B14" s="28" t="n"/>
      <c r="C14" s="67" t="n"/>
      <c r="D14" s="27" t="n"/>
      <c r="E14" s="27" t="n"/>
      <c r="F14" s="27" t="n"/>
      <c r="G14" s="27" t="n"/>
      <c r="H14" s="27" t="n"/>
      <c r="I14" s="27" t="n"/>
      <c r="J14" s="28" t="n"/>
      <c r="K14" s="68" t="n"/>
      <c r="L14" s="69" t="n"/>
    </row>
    <row r="15" hidden="1" ht="19.75" customHeight="1">
      <c r="A15" s="70" t="n"/>
      <c r="B15" s="27" t="n"/>
      <c r="C15" s="27" t="n"/>
      <c r="D15" s="27" t="n"/>
      <c r="E15" s="27" t="n"/>
      <c r="F15" s="27" t="n"/>
      <c r="G15" s="27" t="n"/>
      <c r="H15" s="27" t="n"/>
      <c r="I15" s="28" t="n"/>
      <c r="J15" s="71" t="n"/>
      <c r="K15" s="68" t="n"/>
      <c r="L15" s="72" t="n"/>
    </row>
    <row r="16" hidden="1" ht="26.5" customHeight="1">
      <c r="A16" s="59" t="n"/>
      <c r="B16" s="44" t="n"/>
      <c r="C16" s="27" t="n"/>
      <c r="D16" s="27" t="n"/>
      <c r="E16" s="27" t="n"/>
      <c r="F16" s="27" t="n"/>
      <c r="G16" s="27" t="n"/>
      <c r="H16" s="27" t="n"/>
      <c r="I16" s="28" t="n"/>
      <c r="J16" s="73" t="n"/>
      <c r="K16" s="73" t="n"/>
      <c r="L16" s="74" t="n"/>
    </row>
    <row r="17" hidden="1" ht="25.25" customHeight="1">
      <c r="A17" s="59" t="n"/>
      <c r="B17" s="44" t="n"/>
      <c r="C17" s="27" t="n"/>
      <c r="D17" s="27" t="n"/>
      <c r="E17" s="27" t="n"/>
      <c r="F17" s="27" t="n"/>
      <c r="G17" s="27" t="n"/>
      <c r="H17" s="27" t="n"/>
      <c r="I17" s="28" t="n"/>
      <c r="J17" s="73" t="n"/>
      <c r="K17" s="73" t="n"/>
      <c r="L17" s="74" t="n"/>
    </row>
    <row r="18" hidden="1" ht="19.75" customHeight="1">
      <c r="A18" s="66" t="n"/>
      <c r="B18" s="28" t="n"/>
      <c r="C18" s="67" t="n"/>
      <c r="D18" s="27" t="n"/>
      <c r="E18" s="27" t="n"/>
      <c r="F18" s="27" t="n"/>
      <c r="G18" s="27" t="n"/>
      <c r="H18" s="27" t="n"/>
      <c r="I18" s="27" t="n"/>
      <c r="J18" s="28" t="n"/>
      <c r="K18" s="68" t="n"/>
      <c r="L18" s="69" t="n"/>
    </row>
    <row r="19" hidden="1" ht="19.75" customHeight="1">
      <c r="A19" s="70" t="n"/>
      <c r="B19" s="27" t="n"/>
      <c r="C19" s="27" t="n"/>
      <c r="D19" s="27" t="n"/>
      <c r="E19" s="27" t="n"/>
      <c r="F19" s="27" t="n"/>
      <c r="G19" s="27" t="n"/>
      <c r="H19" s="27" t="n"/>
      <c r="I19" s="28" t="n"/>
      <c r="J19" s="71" t="n"/>
      <c r="K19" s="68" t="n"/>
      <c r="L19" s="72" t="n"/>
    </row>
    <row r="20" hidden="1" ht="19.75" customHeight="1">
      <c r="A20" s="59" t="n"/>
      <c r="B20" s="44" t="n"/>
      <c r="C20" s="27" t="n"/>
      <c r="D20" s="27" t="n"/>
      <c r="E20" s="27" t="n"/>
      <c r="F20" s="27" t="n"/>
      <c r="G20" s="27" t="n"/>
      <c r="H20" s="27" t="n"/>
      <c r="I20" s="28" t="n"/>
      <c r="J20" s="73" t="n"/>
      <c r="K20" s="73" t="n"/>
      <c r="L20" s="74" t="n"/>
    </row>
    <row r="21" hidden="1" ht="19.75" customHeight="1">
      <c r="A21" s="59" t="n"/>
      <c r="B21" s="44" t="n"/>
      <c r="C21" s="27" t="n"/>
      <c r="D21" s="27" t="n"/>
      <c r="E21" s="27" t="n"/>
      <c r="F21" s="27" t="n"/>
      <c r="G21" s="27" t="n"/>
      <c r="H21" s="27" t="n"/>
      <c r="I21" s="28" t="n"/>
      <c r="J21" s="73" t="n"/>
      <c r="K21" s="73" t="n"/>
      <c r="L21" s="74" t="n"/>
    </row>
    <row r="22" hidden="1" ht="59.5" customHeight="1">
      <c r="A22" s="58" t="n"/>
      <c r="B22" s="28" t="n"/>
      <c r="C22" s="75" t="n"/>
      <c r="D22" s="27" t="n"/>
      <c r="E22" s="27" t="n"/>
      <c r="F22" s="27" t="n"/>
      <c r="G22" s="27" t="n"/>
      <c r="H22" s="27" t="n"/>
      <c r="I22" s="27" t="n"/>
      <c r="J22" s="27" t="n"/>
      <c r="K22" s="27" t="n"/>
      <c r="L22" s="65" t="n"/>
    </row>
    <row r="23" hidden="1" ht="19.75" customHeight="1">
      <c r="A23" s="58" t="n"/>
      <c r="B23" s="28" t="n"/>
      <c r="C23" s="76" t="n"/>
      <c r="D23" s="27" t="n"/>
      <c r="E23" s="27" t="n"/>
      <c r="F23" s="28" t="n"/>
      <c r="G23" s="60" t="n"/>
      <c r="H23" s="28" t="n"/>
      <c r="I23" s="76" t="n"/>
      <c r="J23" s="27" t="n"/>
      <c r="K23" s="28" t="n"/>
      <c r="L23" s="74" t="n"/>
    </row>
    <row r="24" hidden="1" ht="19.75" customHeight="1">
      <c r="A24" s="64" t="n"/>
      <c r="B24" s="27" t="n"/>
      <c r="C24" s="27" t="n"/>
      <c r="D24" s="27" t="n"/>
      <c r="E24" s="27" t="n"/>
      <c r="F24" s="27" t="n"/>
      <c r="G24" s="27" t="n"/>
      <c r="H24" s="27" t="n"/>
      <c r="I24" s="27" t="n"/>
      <c r="J24" s="27" t="n"/>
      <c r="K24" s="27" t="n"/>
      <c r="L24" s="65" t="n"/>
    </row>
    <row r="25" hidden="1" ht="19.75" customHeight="1">
      <c r="A25" s="77" t="n"/>
      <c r="B25" s="27" t="n"/>
      <c r="C25" s="76" t="n"/>
      <c r="D25" s="27" t="n"/>
      <c r="E25" s="27" t="n"/>
      <c r="F25" s="28" t="n"/>
      <c r="G25" s="69" t="n"/>
      <c r="H25" s="27" t="n"/>
      <c r="I25" s="27" t="n"/>
      <c r="J25" s="27" t="n"/>
      <c r="K25" s="27" t="n"/>
      <c r="L25" s="65" t="n"/>
    </row>
    <row r="26" hidden="1" ht="19.75" customHeight="1">
      <c r="A26" s="78" t="n"/>
      <c r="B26" s="79" t="n"/>
      <c r="C26" s="76" t="n"/>
      <c r="D26" s="28" t="n"/>
      <c r="E26" s="76" t="n"/>
      <c r="F26" s="28" t="n"/>
      <c r="G26" s="76" t="n"/>
      <c r="H26" s="28" t="n"/>
      <c r="I26" s="76" t="n"/>
      <c r="J26" s="28" t="n"/>
      <c r="K26" s="80" t="n"/>
      <c r="L26" s="69" t="n"/>
    </row>
    <row r="27" hidden="1" ht="19.75" customHeight="1">
      <c r="B27" s="81" t="n"/>
      <c r="C27" s="82" t="n"/>
      <c r="D27" s="37" t="n"/>
      <c r="E27" s="83" t="n"/>
      <c r="F27" s="79" t="n"/>
      <c r="G27" s="76" t="n"/>
      <c r="H27" s="28" t="n"/>
      <c r="I27" s="82" t="n"/>
      <c r="J27" s="28" t="n"/>
      <c r="K27" s="84" t="n"/>
      <c r="L27" s="85" t="n"/>
    </row>
    <row r="28" hidden="1" ht="19.75" customHeight="1">
      <c r="A28" s="86" t="n"/>
      <c r="B28" s="41" t="n"/>
      <c r="C28" s="87" t="n"/>
      <c r="D28" s="41" t="n"/>
      <c r="E28" s="86" t="n"/>
      <c r="F28" s="41" t="n"/>
      <c r="G28" s="76" t="n"/>
      <c r="H28" s="28" t="n"/>
      <c r="I28" s="88" t="n"/>
      <c r="J28" s="28" t="n"/>
      <c r="K28" s="89" t="n"/>
      <c r="L28" s="90" t="n"/>
    </row>
    <row r="29" hidden="1" ht="19.75" customHeight="1">
      <c r="A29" s="64" t="n"/>
      <c r="B29" s="27" t="n"/>
      <c r="C29" s="27" t="n"/>
      <c r="D29" s="27" t="n"/>
      <c r="E29" s="27" t="n"/>
      <c r="F29" s="27" t="n"/>
      <c r="G29" s="27" t="n"/>
      <c r="H29" s="27" t="n"/>
      <c r="I29" s="27" t="n"/>
      <c r="J29" s="27" t="n"/>
      <c r="K29" s="27" t="n"/>
      <c r="L29" s="65" t="n"/>
    </row>
    <row r="30" hidden="1" ht="19.75" customHeight="1">
      <c r="A30" s="77" t="n"/>
      <c r="B30" s="27" t="n"/>
      <c r="C30" s="76" t="n"/>
      <c r="D30" s="27" t="n"/>
      <c r="E30" s="27" t="n"/>
      <c r="F30" s="28" t="n"/>
      <c r="G30" s="69" t="n"/>
      <c r="H30" s="27" t="n"/>
      <c r="I30" s="27" t="n"/>
      <c r="J30" s="27" t="n"/>
      <c r="K30" s="27" t="n"/>
      <c r="L30" s="65" t="n"/>
    </row>
    <row r="31" hidden="1" ht="19.75" customHeight="1">
      <c r="A31" s="78" t="n"/>
      <c r="B31" s="79" t="n"/>
      <c r="C31" s="76" t="n"/>
      <c r="D31" s="28" t="n"/>
      <c r="E31" s="76" t="n"/>
      <c r="F31" s="28" t="n"/>
      <c r="G31" s="76" t="n"/>
      <c r="H31" s="28" t="n"/>
      <c r="I31" s="76" t="n"/>
      <c r="J31" s="28" t="n"/>
      <c r="K31" s="80" t="n"/>
      <c r="L31" s="69" t="n"/>
    </row>
    <row r="32" hidden="1" ht="18" customHeight="1">
      <c r="B32" s="81" t="n"/>
      <c r="C32" s="91" t="n"/>
      <c r="D32" s="37" t="n"/>
      <c r="E32" s="91" t="n"/>
      <c r="F32" s="37" t="n"/>
      <c r="G32" s="76" t="n"/>
      <c r="H32" s="28" t="n"/>
      <c r="I32" s="82" t="n"/>
      <c r="J32" s="28" t="n"/>
      <c r="K32" s="84" t="n"/>
      <c r="L32" s="85" t="n"/>
    </row>
    <row r="33" hidden="1" ht="20" customHeight="1">
      <c r="A33" s="86" t="n"/>
      <c r="B33" s="41" t="n"/>
      <c r="C33" s="87" t="n"/>
      <c r="D33" s="41" t="n"/>
      <c r="E33" s="87" t="n"/>
      <c r="F33" s="41" t="n"/>
      <c r="G33" s="76" t="n"/>
      <c r="H33" s="28" t="n"/>
      <c r="I33" s="92" t="n"/>
      <c r="J33" s="28" t="n"/>
      <c r="K33" s="89" t="n"/>
      <c r="L33" s="90" t="n"/>
    </row>
    <row r="34" hidden="1" ht="19.75" customHeight="1">
      <c r="A34" s="64" t="n"/>
      <c r="B34" s="27" t="n"/>
      <c r="C34" s="27" t="n"/>
      <c r="D34" s="27" t="n"/>
      <c r="E34" s="27" t="n"/>
      <c r="F34" s="27" t="n"/>
      <c r="G34" s="27" t="n"/>
      <c r="H34" s="27" t="n"/>
      <c r="I34" s="27" t="n"/>
      <c r="J34" s="27" t="n"/>
      <c r="K34" s="27" t="n"/>
      <c r="L34" s="65" t="n"/>
    </row>
    <row r="35" hidden="1" ht="19.75" customHeight="1">
      <c r="A35" s="58" t="n"/>
      <c r="B35" s="28" t="n"/>
      <c r="C35" s="60" t="n"/>
      <c r="D35" s="60" t="n"/>
      <c r="E35" s="60" t="n"/>
      <c r="F35" s="60" t="n"/>
      <c r="G35" s="60" t="n"/>
      <c r="H35" s="60" t="n"/>
      <c r="I35" s="60" t="n"/>
      <c r="J35" s="60" t="n"/>
      <c r="K35" s="60" t="n"/>
      <c r="L35" s="93" t="n"/>
    </row>
    <row r="36" hidden="1" ht="19.75" customHeight="1">
      <c r="A36" s="58" t="n"/>
      <c r="B36" s="28" t="n"/>
      <c r="C36" s="82" t="n"/>
      <c r="D36" s="82" t="n"/>
      <c r="E36" s="82" t="n"/>
      <c r="F36" s="82" t="n"/>
      <c r="G36" s="82" t="n"/>
      <c r="H36" s="82" t="n"/>
      <c r="I36" s="82" t="n"/>
      <c r="J36" s="82" t="n"/>
      <c r="K36" s="82" t="n"/>
      <c r="L36" s="85" t="n"/>
    </row>
    <row r="37" hidden="1" ht="35.25" customHeight="1">
      <c r="A37" s="58" t="n"/>
      <c r="B37" s="28" t="n"/>
      <c r="C37" s="88" t="n"/>
      <c r="D37" s="88" t="n"/>
      <c r="E37" s="88" t="n"/>
      <c r="F37" s="88" t="n"/>
      <c r="G37" s="88" t="n"/>
      <c r="H37" s="88" t="n"/>
      <c r="I37" s="88" t="n"/>
      <c r="J37" s="88" t="n"/>
      <c r="K37" s="88" t="n"/>
      <c r="L37" s="94" t="n"/>
    </row>
    <row r="38" hidden="1" ht="19.75" customHeight="1">
      <c r="A38" s="64" t="n"/>
      <c r="B38" s="27" t="n"/>
      <c r="C38" s="27" t="n"/>
      <c r="D38" s="27" t="n"/>
      <c r="E38" s="27" t="n"/>
      <c r="F38" s="27" t="n"/>
      <c r="G38" s="27" t="n"/>
      <c r="H38" s="27" t="n"/>
      <c r="I38" s="27" t="n"/>
      <c r="J38" s="27" t="n"/>
      <c r="K38" s="27" t="n"/>
      <c r="L38" s="65" t="n"/>
    </row>
    <row r="39" hidden="1" ht="54" customHeight="1">
      <c r="A39" s="95" t="n"/>
      <c r="B39" s="96" t="n"/>
      <c r="C39" s="96" t="n"/>
      <c r="D39" s="96" t="n"/>
      <c r="E39" s="96" t="n"/>
      <c r="F39" s="96" t="n"/>
      <c r="G39" s="96" t="n"/>
      <c r="H39" s="96" t="n"/>
      <c r="I39" s="96" t="n"/>
      <c r="J39" s="96" t="n"/>
      <c r="K39" s="96" t="n"/>
      <c r="L39" s="97" t="n"/>
    </row>
    <row r="40" hidden="1" ht="24.5" customHeight="1">
      <c r="A40" s="66" t="n"/>
      <c r="B40" s="28" t="n"/>
      <c r="C40" s="67" t="n"/>
      <c r="D40" s="27" t="n"/>
      <c r="E40" s="27" t="n"/>
      <c r="F40" s="27" t="n"/>
      <c r="G40" s="27" t="n"/>
      <c r="H40" s="27" t="n"/>
      <c r="I40" s="27" t="n"/>
      <c r="J40" s="28" t="n"/>
      <c r="K40" s="68" t="n"/>
      <c r="L40" s="69" t="n"/>
    </row>
    <row r="41" hidden="1" ht="19.75" customHeight="1">
      <c r="A41" s="70" t="n"/>
      <c r="B41" s="27" t="n"/>
      <c r="C41" s="27" t="n"/>
      <c r="D41" s="27" t="n"/>
      <c r="E41" s="27" t="n"/>
      <c r="F41" s="27" t="n"/>
      <c r="G41" s="27" t="n"/>
      <c r="H41" s="27" t="n"/>
      <c r="I41" s="28" t="n"/>
      <c r="J41" s="71" t="n"/>
      <c r="K41" s="68" t="n"/>
      <c r="L41" s="72" t="n"/>
    </row>
    <row r="42" hidden="1" ht="19.75" customHeight="1">
      <c r="A42" s="59" t="n"/>
      <c r="B42" s="44" t="n"/>
      <c r="C42" s="27" t="n"/>
      <c r="D42" s="27" t="n"/>
      <c r="E42" s="27" t="n"/>
      <c r="F42" s="27" t="n"/>
      <c r="G42" s="27" t="n"/>
      <c r="H42" s="27" t="n"/>
      <c r="I42" s="28" t="n"/>
      <c r="J42" s="73" t="n"/>
      <c r="K42" s="73" t="n"/>
      <c r="L42" s="74" t="n"/>
    </row>
    <row r="43" hidden="1" ht="19.75" customHeight="1">
      <c r="A43" s="59" t="n"/>
      <c r="B43" s="44" t="n"/>
      <c r="C43" s="27" t="n"/>
      <c r="D43" s="27" t="n"/>
      <c r="E43" s="27" t="n"/>
      <c r="F43" s="27" t="n"/>
      <c r="G43" s="27" t="n"/>
      <c r="H43" s="27" t="n"/>
      <c r="I43" s="28" t="n"/>
      <c r="J43" s="73" t="n"/>
      <c r="K43" s="73" t="n"/>
      <c r="L43" s="74" t="n"/>
    </row>
    <row r="44" hidden="1" ht="19.75" customHeight="1">
      <c r="A44" s="66" t="n"/>
      <c r="B44" s="28" t="n"/>
      <c r="C44" s="67" t="n"/>
      <c r="D44" s="27" t="n"/>
      <c r="E44" s="27" t="n"/>
      <c r="F44" s="27" t="n"/>
      <c r="G44" s="27" t="n"/>
      <c r="H44" s="27" t="n"/>
      <c r="I44" s="27" t="n"/>
      <c r="J44" s="28" t="n"/>
      <c r="K44" s="68" t="n"/>
      <c r="L44" s="69" t="n"/>
    </row>
    <row r="45" hidden="1" ht="19.75" customHeight="1">
      <c r="A45" s="70" t="n"/>
      <c r="B45" s="27" t="n"/>
      <c r="C45" s="27" t="n"/>
      <c r="D45" s="27" t="n"/>
      <c r="E45" s="27" t="n"/>
      <c r="F45" s="27" t="n"/>
      <c r="G45" s="27" t="n"/>
      <c r="H45" s="27" t="n"/>
      <c r="I45" s="28" t="n"/>
      <c r="J45" s="71" t="n"/>
      <c r="K45" s="68" t="n"/>
      <c r="L45" s="72" t="n"/>
    </row>
    <row r="46" hidden="1" ht="19.75" customHeight="1">
      <c r="A46" s="59" t="n"/>
      <c r="B46" s="44" t="n"/>
      <c r="C46" s="27" t="n"/>
      <c r="D46" s="27" t="n"/>
      <c r="E46" s="27" t="n"/>
      <c r="F46" s="27" t="n"/>
      <c r="G46" s="27" t="n"/>
      <c r="H46" s="27" t="n"/>
      <c r="I46" s="28" t="n"/>
      <c r="J46" s="73" t="n"/>
      <c r="K46" s="73" t="n"/>
      <c r="L46" s="74" t="n"/>
    </row>
    <row r="47" hidden="1" ht="19.75" customHeight="1">
      <c r="A47" s="59" t="n"/>
      <c r="B47" s="44" t="n"/>
      <c r="C47" s="27" t="n"/>
      <c r="D47" s="27" t="n"/>
      <c r="E47" s="27" t="n"/>
      <c r="F47" s="27" t="n"/>
      <c r="G47" s="27" t="n"/>
      <c r="H47" s="27" t="n"/>
      <c r="I47" s="28" t="n"/>
      <c r="J47" s="73" t="n"/>
      <c r="K47" s="73" t="n"/>
      <c r="L47" s="74" t="n"/>
    </row>
    <row r="48" hidden="1" ht="27" customHeight="1">
      <c r="A48" s="58" t="n"/>
      <c r="B48" s="28" t="n"/>
      <c r="C48" s="75" t="n"/>
      <c r="D48" s="27" t="n"/>
      <c r="E48" s="27" t="n"/>
      <c r="F48" s="27" t="n"/>
      <c r="G48" s="27" t="n"/>
      <c r="H48" s="27" t="n"/>
      <c r="I48" s="27" t="n"/>
      <c r="J48" s="27" t="n"/>
      <c r="K48" s="27" t="n"/>
      <c r="L48" s="65" t="n"/>
    </row>
    <row r="49" hidden="1" ht="19.75" customHeight="1">
      <c r="A49" s="58" t="n"/>
      <c r="B49" s="28" t="n"/>
      <c r="C49" s="76" t="n"/>
      <c r="D49" s="27" t="n"/>
      <c r="E49" s="27" t="n"/>
      <c r="F49" s="28" t="n"/>
      <c r="G49" s="60" t="n"/>
      <c r="H49" s="28" t="n"/>
      <c r="I49" s="76" t="n"/>
      <c r="J49" s="27" t="n"/>
      <c r="K49" s="28" t="n"/>
      <c r="L49" s="74" t="n"/>
    </row>
    <row r="50" hidden="1" ht="19.75" customHeight="1">
      <c r="A50" s="64" t="n"/>
      <c r="B50" s="27" t="n"/>
      <c r="C50" s="27" t="n"/>
      <c r="D50" s="27" t="n"/>
      <c r="E50" s="27" t="n"/>
      <c r="F50" s="27" t="n"/>
      <c r="G50" s="27" t="n"/>
      <c r="H50" s="27" t="n"/>
      <c r="I50" s="27" t="n"/>
      <c r="J50" s="27" t="n"/>
      <c r="K50" s="27" t="n"/>
      <c r="L50" s="65" t="n"/>
    </row>
    <row r="51" hidden="1" ht="21" customHeight="1">
      <c r="A51" s="77" t="n"/>
      <c r="B51" s="27" t="n"/>
      <c r="C51" s="76" t="n"/>
      <c r="D51" s="27" t="n"/>
      <c r="E51" s="27" t="n"/>
      <c r="F51" s="28" t="n"/>
      <c r="G51" s="69" t="n"/>
      <c r="H51" s="27" t="n"/>
      <c r="I51" s="27" t="n"/>
      <c r="J51" s="27" t="n"/>
      <c r="K51" s="27" t="n"/>
      <c r="L51" s="65" t="n"/>
    </row>
    <row r="52" hidden="1" ht="19.75" customHeight="1">
      <c r="A52" s="78" t="n"/>
      <c r="B52" s="79" t="n"/>
      <c r="C52" s="76" t="n"/>
      <c r="D52" s="28" t="n"/>
      <c r="E52" s="76" t="n"/>
      <c r="F52" s="28" t="n"/>
      <c r="G52" s="76" t="n"/>
      <c r="H52" s="28" t="n"/>
      <c r="I52" s="76" t="n"/>
      <c r="J52" s="28" t="n"/>
      <c r="K52" s="80" t="n"/>
      <c r="L52" s="69" t="n"/>
    </row>
    <row r="53" hidden="1" ht="19.75" customHeight="1">
      <c r="B53" s="81" t="n"/>
      <c r="C53" s="82" t="n"/>
      <c r="D53" s="37" t="n"/>
      <c r="E53" s="83" t="n"/>
      <c r="F53" s="79" t="n"/>
      <c r="G53" s="76" t="n"/>
      <c r="H53" s="28" t="n"/>
      <c r="I53" s="82" t="n"/>
      <c r="J53" s="28" t="n"/>
      <c r="K53" s="84" t="n"/>
      <c r="L53" s="85" t="n"/>
    </row>
    <row r="54" hidden="1" ht="19.75" customHeight="1">
      <c r="A54" s="86" t="n"/>
      <c r="B54" s="41" t="n"/>
      <c r="C54" s="87" t="n"/>
      <c r="D54" s="41" t="n"/>
      <c r="E54" s="86" t="n"/>
      <c r="F54" s="41" t="n"/>
      <c r="G54" s="76" t="n"/>
      <c r="H54" s="28" t="n"/>
      <c r="I54" s="88" t="n"/>
      <c r="J54" s="28" t="n"/>
      <c r="K54" s="89" t="n"/>
      <c r="L54" s="90" t="n"/>
    </row>
    <row r="55" hidden="1" ht="19.75" customHeight="1">
      <c r="A55" s="64" t="n"/>
      <c r="B55" s="27" t="n"/>
      <c r="C55" s="27" t="n"/>
      <c r="D55" s="27" t="n"/>
      <c r="E55" s="27" t="n"/>
      <c r="F55" s="27" t="n"/>
      <c r="G55" s="27" t="n"/>
      <c r="H55" s="27" t="n"/>
      <c r="I55" s="27" t="n"/>
      <c r="J55" s="27" t="n"/>
      <c r="K55" s="27" t="n"/>
      <c r="L55" s="65" t="n"/>
    </row>
    <row r="56" hidden="1" ht="19.75" customHeight="1">
      <c r="A56" s="77" t="n"/>
      <c r="B56" s="27" t="n"/>
      <c r="C56" s="76" t="n"/>
      <c r="D56" s="27" t="n"/>
      <c r="E56" s="27" t="n"/>
      <c r="F56" s="28" t="n"/>
      <c r="G56" s="69" t="n"/>
      <c r="H56" s="27" t="n"/>
      <c r="I56" s="27" t="n"/>
      <c r="J56" s="27" t="n"/>
      <c r="K56" s="27" t="n"/>
      <c r="L56" s="65" t="n"/>
    </row>
    <row r="57" hidden="1" ht="19.75" customHeight="1">
      <c r="A57" s="78" t="n"/>
      <c r="B57" s="79" t="n"/>
      <c r="C57" s="76" t="n"/>
      <c r="D57" s="28" t="n"/>
      <c r="E57" s="76" t="n"/>
      <c r="F57" s="28" t="n"/>
      <c r="G57" s="76" t="n"/>
      <c r="H57" s="28" t="n"/>
      <c r="I57" s="76" t="n"/>
      <c r="J57" s="28" t="n"/>
      <c r="K57" s="80" t="n"/>
      <c r="L57" s="69" t="n"/>
    </row>
    <row r="58" hidden="1" ht="27" customHeight="1">
      <c r="B58" s="81" t="n"/>
      <c r="C58" s="82" t="n"/>
      <c r="D58" s="37" t="n"/>
      <c r="E58" s="83" t="n"/>
      <c r="F58" s="79" t="n"/>
      <c r="G58" s="76" t="n"/>
      <c r="H58" s="28" t="n"/>
      <c r="I58" s="82" t="n"/>
      <c r="J58" s="28" t="n"/>
      <c r="K58" s="84" t="n"/>
      <c r="L58" s="85" t="n"/>
    </row>
    <row r="59" hidden="1" ht="29.5" customHeight="1">
      <c r="A59" s="86" t="n"/>
      <c r="B59" s="41" t="n"/>
      <c r="C59" s="87" t="n"/>
      <c r="D59" s="41" t="n"/>
      <c r="E59" s="86" t="n"/>
      <c r="F59" s="41" t="n"/>
      <c r="G59" s="76" t="n"/>
      <c r="H59" s="28" t="n"/>
      <c r="I59" s="92" t="n"/>
      <c r="J59" s="28" t="n"/>
      <c r="K59" s="89" t="n"/>
      <c r="L59" s="90" t="n"/>
    </row>
    <row r="60" hidden="1" ht="27" customHeight="1">
      <c r="A60" s="64" t="n"/>
      <c r="B60" s="27" t="n"/>
      <c r="C60" s="27" t="n"/>
      <c r="D60" s="27" t="n"/>
      <c r="E60" s="27" t="n"/>
      <c r="F60" s="27" t="n"/>
      <c r="G60" s="27" t="n"/>
      <c r="H60" s="27" t="n"/>
      <c r="I60" s="27" t="n"/>
      <c r="J60" s="27" t="n"/>
      <c r="K60" s="27" t="n"/>
      <c r="L60" s="65" t="n"/>
    </row>
    <row r="61" hidden="1" ht="27" customHeight="1">
      <c r="A61" s="58" t="n"/>
      <c r="B61" s="28" t="n"/>
      <c r="C61" s="60" t="n"/>
      <c r="D61" s="60" t="n"/>
      <c r="E61" s="60" t="n"/>
      <c r="F61" s="60" t="n"/>
      <c r="G61" s="60" t="n"/>
      <c r="H61" s="60" t="n"/>
      <c r="I61" s="60" t="n"/>
      <c r="J61" s="60" t="n"/>
      <c r="K61" s="60" t="n"/>
      <c r="L61" s="93" t="n"/>
    </row>
    <row r="62" hidden="1" ht="27" customHeight="1">
      <c r="A62" s="58" t="n"/>
      <c r="B62" s="28" t="n"/>
      <c r="C62" s="82" t="n"/>
      <c r="D62" s="82" t="n"/>
      <c r="E62" s="82" t="n"/>
      <c r="F62" s="82" t="n"/>
      <c r="G62" s="82" t="n"/>
      <c r="H62" s="82" t="n"/>
      <c r="I62" s="82" t="n"/>
      <c r="J62" s="82" t="n"/>
      <c r="K62" s="82" t="n"/>
      <c r="L62" s="85" t="n"/>
    </row>
    <row r="63" hidden="1" ht="27" customHeight="1">
      <c r="A63" s="58" t="n"/>
      <c r="B63" s="28" t="n"/>
      <c r="C63" s="88" t="n"/>
      <c r="D63" s="88" t="n"/>
      <c r="E63" s="88" t="n"/>
      <c r="F63" s="88" t="n"/>
      <c r="G63" s="88" t="n"/>
      <c r="H63" s="88" t="n"/>
      <c r="I63" s="88" t="n"/>
      <c r="J63" s="88" t="n"/>
      <c r="K63" s="88" t="n"/>
      <c r="L63" s="94" t="n"/>
    </row>
    <row r="64" hidden="1" ht="19.75" customHeight="1">
      <c r="A64" s="64" t="n"/>
      <c r="B64" s="27" t="n"/>
      <c r="C64" s="27" t="n"/>
      <c r="D64" s="27" t="n"/>
      <c r="E64" s="27" t="n"/>
      <c r="F64" s="27" t="n"/>
      <c r="G64" s="27" t="n"/>
      <c r="H64" s="27" t="n"/>
      <c r="I64" s="27" t="n"/>
      <c r="J64" s="27" t="n"/>
      <c r="K64" s="27" t="n"/>
      <c r="L64" s="65" t="n"/>
    </row>
    <row r="65" hidden="1" ht="41" customHeight="1">
      <c r="A65" s="95" t="n"/>
      <c r="B65" s="96" t="n"/>
      <c r="C65" s="96" t="n"/>
      <c r="D65" s="96" t="n"/>
      <c r="E65" s="96" t="n"/>
      <c r="F65" s="96" t="n"/>
      <c r="G65" s="96" t="n"/>
      <c r="H65" s="96" t="n"/>
      <c r="I65" s="96" t="n"/>
      <c r="J65" s="96" t="n"/>
      <c r="K65" s="96" t="n"/>
      <c r="L65" s="97" t="n"/>
    </row>
    <row r="66" hidden="1" ht="19.75" customHeight="1">
      <c r="A66" s="66" t="n"/>
      <c r="B66" s="28" t="n"/>
      <c r="C66" s="67" t="n"/>
      <c r="D66" s="27" t="n"/>
      <c r="E66" s="27" t="n"/>
      <c r="F66" s="27" t="n"/>
      <c r="G66" s="27" t="n"/>
      <c r="H66" s="27" t="n"/>
      <c r="I66" s="27" t="n"/>
      <c r="J66" s="28" t="n"/>
      <c r="K66" s="68" t="n"/>
      <c r="L66" s="69" t="n"/>
    </row>
    <row r="67" hidden="1" ht="19.75" customHeight="1">
      <c r="A67" s="70" t="n"/>
      <c r="B67" s="27" t="n"/>
      <c r="C67" s="27" t="n"/>
      <c r="D67" s="27" t="n"/>
      <c r="E67" s="27" t="n"/>
      <c r="F67" s="27" t="n"/>
      <c r="G67" s="27" t="n"/>
      <c r="H67" s="27" t="n"/>
      <c r="I67" s="28" t="n"/>
      <c r="J67" s="71" t="n"/>
      <c r="K67" s="68" t="n"/>
      <c r="L67" s="72" t="n"/>
    </row>
    <row r="68" hidden="1" ht="19.75" customHeight="1">
      <c r="A68" s="59" t="n"/>
      <c r="B68" s="44" t="n"/>
      <c r="C68" s="27" t="n"/>
      <c r="D68" s="27" t="n"/>
      <c r="E68" s="27" t="n"/>
      <c r="F68" s="27" t="n"/>
      <c r="G68" s="27" t="n"/>
      <c r="H68" s="27" t="n"/>
      <c r="I68" s="28" t="n"/>
      <c r="J68" s="73" t="n"/>
      <c r="K68" s="73" t="n"/>
      <c r="L68" s="74" t="n"/>
    </row>
    <row r="69" hidden="1" ht="19.75" customHeight="1">
      <c r="A69" s="59" t="n"/>
      <c r="B69" s="44" t="n"/>
      <c r="C69" s="27" t="n"/>
      <c r="D69" s="27" t="n"/>
      <c r="E69" s="27" t="n"/>
      <c r="F69" s="27" t="n"/>
      <c r="G69" s="27" t="n"/>
      <c r="H69" s="27" t="n"/>
      <c r="I69" s="28" t="n"/>
      <c r="J69" s="73" t="n"/>
      <c r="K69" s="73" t="n"/>
      <c r="L69" s="74" t="n"/>
    </row>
    <row r="70" hidden="1" ht="19.75" customHeight="1">
      <c r="A70" s="59" t="n"/>
      <c r="B70" s="44" t="n"/>
      <c r="C70" s="27" t="n"/>
      <c r="D70" s="27" t="n"/>
      <c r="E70" s="27" t="n"/>
      <c r="F70" s="27" t="n"/>
      <c r="G70" s="27" t="n"/>
      <c r="H70" s="27" t="n"/>
      <c r="I70" s="28" t="n"/>
      <c r="J70" s="73" t="n"/>
      <c r="K70" s="73" t="n"/>
      <c r="L70" s="74" t="n"/>
    </row>
    <row r="71" hidden="1" ht="19.75" customHeight="1">
      <c r="A71" s="59" t="n"/>
      <c r="B71" s="44" t="n"/>
      <c r="C71" s="27" t="n"/>
      <c r="D71" s="27" t="n"/>
      <c r="E71" s="27" t="n"/>
      <c r="F71" s="27" t="n"/>
      <c r="G71" s="27" t="n"/>
      <c r="H71" s="27" t="n"/>
      <c r="I71" s="28" t="n"/>
      <c r="J71" s="73" t="n"/>
      <c r="K71" s="73" t="n"/>
      <c r="L71" s="74" t="n"/>
    </row>
    <row r="72" hidden="1" ht="19.75" customHeight="1">
      <c r="A72" s="66" t="n"/>
      <c r="B72" s="28" t="n"/>
      <c r="C72" s="67" t="n"/>
      <c r="D72" s="27" t="n"/>
      <c r="E72" s="27" t="n"/>
      <c r="F72" s="27" t="n"/>
      <c r="G72" s="27" t="n"/>
      <c r="H72" s="27" t="n"/>
      <c r="I72" s="27" t="n"/>
      <c r="J72" s="28" t="n"/>
      <c r="K72" s="68" t="n"/>
      <c r="L72" s="69" t="n"/>
    </row>
    <row r="73" hidden="1" ht="19.75" customHeight="1">
      <c r="A73" s="70" t="n"/>
      <c r="B73" s="27" t="n"/>
      <c r="C73" s="27" t="n"/>
      <c r="D73" s="27" t="n"/>
      <c r="E73" s="27" t="n"/>
      <c r="F73" s="27" t="n"/>
      <c r="G73" s="27" t="n"/>
      <c r="H73" s="27" t="n"/>
      <c r="I73" s="28" t="n"/>
      <c r="J73" s="71" t="n"/>
      <c r="K73" s="68" t="n"/>
      <c r="L73" s="72" t="n"/>
    </row>
    <row r="74" hidden="1" ht="19.75" customHeight="1">
      <c r="A74" s="59" t="n"/>
      <c r="B74" s="44" t="n"/>
      <c r="C74" s="27" t="n"/>
      <c r="D74" s="27" t="n"/>
      <c r="E74" s="27" t="n"/>
      <c r="F74" s="27" t="n"/>
      <c r="G74" s="27" t="n"/>
      <c r="H74" s="27" t="n"/>
      <c r="I74" s="28" t="n"/>
      <c r="J74" s="73" t="n"/>
      <c r="K74" s="73" t="n"/>
      <c r="L74" s="74" t="n"/>
    </row>
    <row r="75" hidden="1" ht="19.75" customHeight="1">
      <c r="A75" s="59" t="n"/>
      <c r="B75" s="44" t="n"/>
      <c r="C75" s="27" t="n"/>
      <c r="D75" s="27" t="n"/>
      <c r="E75" s="27" t="n"/>
      <c r="F75" s="27" t="n"/>
      <c r="G75" s="27" t="n"/>
      <c r="H75" s="27" t="n"/>
      <c r="I75" s="28" t="n"/>
      <c r="J75" s="73" t="n"/>
      <c r="K75" s="73" t="n"/>
      <c r="L75" s="74" t="n"/>
    </row>
    <row r="76" hidden="1" ht="19.75" customHeight="1">
      <c r="A76" s="66" t="n"/>
      <c r="B76" s="28" t="n"/>
      <c r="C76" s="67" t="n"/>
      <c r="D76" s="27" t="n"/>
      <c r="E76" s="27" t="n"/>
      <c r="F76" s="27" t="n"/>
      <c r="G76" s="27" t="n"/>
      <c r="H76" s="27" t="n"/>
      <c r="I76" s="27" t="n"/>
      <c r="J76" s="28" t="n"/>
      <c r="K76" s="68" t="n"/>
      <c r="L76" s="69" t="n"/>
    </row>
    <row r="77" hidden="1" ht="19.75" customHeight="1">
      <c r="A77" s="70" t="n"/>
      <c r="B77" s="27" t="n"/>
      <c r="C77" s="27" t="n"/>
      <c r="D77" s="27" t="n"/>
      <c r="E77" s="27" t="n"/>
      <c r="F77" s="27" t="n"/>
      <c r="G77" s="27" t="n"/>
      <c r="H77" s="27" t="n"/>
      <c r="I77" s="28" t="n"/>
      <c r="J77" s="71" t="n"/>
      <c r="K77" s="68" t="n"/>
      <c r="L77" s="72" t="n"/>
    </row>
    <row r="78" hidden="1" ht="19.75" customHeight="1">
      <c r="A78" s="59" t="n"/>
      <c r="B78" s="44" t="n"/>
      <c r="C78" s="27" t="n"/>
      <c r="D78" s="27" t="n"/>
      <c r="E78" s="27" t="n"/>
      <c r="F78" s="27" t="n"/>
      <c r="G78" s="27" t="n"/>
      <c r="H78" s="27" t="n"/>
      <c r="I78" s="28" t="n"/>
      <c r="J78" s="73" t="n"/>
      <c r="K78" s="73" t="n"/>
      <c r="L78" s="74" t="n"/>
    </row>
    <row r="79" hidden="1" ht="19.75" customHeight="1">
      <c r="A79" s="66" t="n"/>
      <c r="B79" s="28" t="n"/>
      <c r="C79" s="67" t="n"/>
      <c r="D79" s="27" t="n"/>
      <c r="E79" s="27" t="n"/>
      <c r="F79" s="27" t="n"/>
      <c r="G79" s="27" t="n"/>
      <c r="H79" s="27" t="n"/>
      <c r="I79" s="27" t="n"/>
      <c r="J79" s="28" t="n"/>
      <c r="K79" s="68" t="n"/>
      <c r="L79" s="69" t="n"/>
    </row>
    <row r="80" hidden="1" ht="19.75" customHeight="1">
      <c r="A80" s="70" t="n"/>
      <c r="B80" s="27" t="n"/>
      <c r="C80" s="27" t="n"/>
      <c r="D80" s="27" t="n"/>
      <c r="E80" s="27" t="n"/>
      <c r="F80" s="27" t="n"/>
      <c r="G80" s="27" t="n"/>
      <c r="H80" s="27" t="n"/>
      <c r="I80" s="28" t="n"/>
      <c r="J80" s="71" t="n"/>
      <c r="K80" s="68" t="n"/>
      <c r="L80" s="72" t="n"/>
    </row>
    <row r="81" hidden="1" ht="19.75" customHeight="1">
      <c r="A81" s="59" t="n"/>
      <c r="B81" s="44" t="n"/>
      <c r="C81" s="27" t="n"/>
      <c r="D81" s="27" t="n"/>
      <c r="E81" s="27" t="n"/>
      <c r="F81" s="27" t="n"/>
      <c r="G81" s="27" t="n"/>
      <c r="H81" s="27" t="n"/>
      <c r="I81" s="28" t="n"/>
      <c r="J81" s="73" t="n"/>
      <c r="K81" s="73" t="n"/>
      <c r="L81" s="74" t="n"/>
    </row>
    <row r="82" hidden="1" ht="19.75" customHeight="1">
      <c r="A82" s="59" t="n"/>
      <c r="B82" s="44" t="n"/>
      <c r="C82" s="27" t="n"/>
      <c r="D82" s="27" t="n"/>
      <c r="E82" s="27" t="n"/>
      <c r="F82" s="27" t="n"/>
      <c r="G82" s="27" t="n"/>
      <c r="H82" s="27" t="n"/>
      <c r="I82" s="28" t="n"/>
      <c r="J82" s="73" t="n"/>
      <c r="K82" s="73" t="n"/>
      <c r="L82" s="74" t="n"/>
    </row>
    <row r="83" hidden="1" ht="19.75" customHeight="1">
      <c r="A83" s="59" t="n"/>
      <c r="B83" s="44" t="n"/>
      <c r="C83" s="27" t="n"/>
      <c r="D83" s="27" t="n"/>
      <c r="E83" s="27" t="n"/>
      <c r="F83" s="27" t="n"/>
      <c r="G83" s="27" t="n"/>
      <c r="H83" s="27" t="n"/>
      <c r="I83" s="28" t="n"/>
      <c r="J83" s="73" t="n"/>
      <c r="K83" s="73" t="n"/>
      <c r="L83" s="74" t="n"/>
    </row>
    <row r="84" hidden="1" ht="27" customHeight="1">
      <c r="A84" s="66" t="n"/>
      <c r="B84" s="28" t="n"/>
      <c r="C84" s="67" t="n"/>
      <c r="D84" s="27" t="n"/>
      <c r="E84" s="27" t="n"/>
      <c r="F84" s="27" t="n"/>
      <c r="G84" s="27" t="n"/>
      <c r="H84" s="27" t="n"/>
      <c r="I84" s="27" t="n"/>
      <c r="J84" s="28" t="n"/>
      <c r="K84" s="68" t="n"/>
      <c r="L84" s="69" t="n"/>
    </row>
    <row r="85" hidden="1" ht="19.75" customHeight="1">
      <c r="A85" s="70" t="n"/>
      <c r="B85" s="27" t="n"/>
      <c r="C85" s="27" t="n"/>
      <c r="D85" s="27" t="n"/>
      <c r="E85" s="27" t="n"/>
      <c r="F85" s="27" t="n"/>
      <c r="G85" s="27" t="n"/>
      <c r="H85" s="27" t="n"/>
      <c r="I85" s="28" t="n"/>
      <c r="J85" s="71" t="n"/>
      <c r="K85" s="68" t="n"/>
      <c r="L85" s="72" t="n"/>
    </row>
    <row r="86" hidden="1" ht="19.75" customHeight="1">
      <c r="A86" s="59" t="n"/>
      <c r="B86" s="44" t="n"/>
      <c r="C86" s="27" t="n"/>
      <c r="D86" s="27" t="n"/>
      <c r="E86" s="27" t="n"/>
      <c r="F86" s="27" t="n"/>
      <c r="G86" s="27" t="n"/>
      <c r="H86" s="27" t="n"/>
      <c r="I86" s="28" t="n"/>
      <c r="J86" s="73" t="n"/>
      <c r="K86" s="73" t="n"/>
      <c r="L86" s="74" t="n"/>
    </row>
    <row r="87" ht="82.25" customHeight="1">
      <c r="A87" s="58" t="inlineStr">
        <is>
          <t>阶段汇总统计：</t>
        </is>
      </c>
      <c r="B87" s="28" t="n"/>
      <c r="C87" s="75" t="inlineStr">
        <is>
          <t>本阶段技术原型包含一个产品审核实例。</t>
        </is>
      </c>
      <c r="D87" s="27" t="n"/>
      <c r="E87" s="27" t="n"/>
      <c r="F87" s="27" t="n"/>
      <c r="G87" s="27" t="n"/>
      <c r="H87" s="27" t="n"/>
      <c r="I87" s="27" t="n"/>
      <c r="J87" s="27" t="n"/>
      <c r="K87" s="27" t="n"/>
      <c r="L87" s="65" t="n"/>
    </row>
    <row r="88" ht="19.75" customHeight="1">
      <c r="A88" s="58" t="inlineStr">
        <is>
          <t>起始时间</t>
        </is>
      </c>
      <c r="B88" s="28" t="n"/>
      <c r="C88" s="76" t="n">
        <v>46248</v>
      </c>
      <c r="D88" s="27" t="n"/>
      <c r="E88" s="27" t="n"/>
      <c r="F88" s="28" t="n"/>
      <c r="G88" s="60" t="inlineStr">
        <is>
          <t>结束时间</t>
        </is>
      </c>
      <c r="H88" s="28" t="n"/>
      <c r="I88" s="76" t="n">
        <v>46248</v>
      </c>
      <c r="J88" s="27" t="n"/>
      <c r="K88" s="28" t="n"/>
      <c r="L88" s="74" t="n"/>
    </row>
    <row r="89" ht="19.75" customHeight="1">
      <c r="A89" s="64" t="inlineStr">
        <is>
          <t>产品NC统计</t>
        </is>
      </c>
      <c r="B89" s="27" t="n"/>
      <c r="C89" s="27" t="n"/>
      <c r="D89" s="27" t="n"/>
      <c r="E89" s="27" t="n"/>
      <c r="F89" s="27" t="n"/>
      <c r="G89" s="27" t="n"/>
      <c r="H89" s="27" t="n"/>
      <c r="I89" s="27" t="n"/>
      <c r="J89" s="27" t="n"/>
      <c r="K89" s="27" t="n"/>
      <c r="L89" s="65" t="n"/>
    </row>
    <row r="90" ht="19.75" customHeight="1">
      <c r="A90" s="77" t="inlineStr">
        <is>
          <t>产品NC总数</t>
        </is>
      </c>
      <c r="B90" s="27" t="n"/>
      <c r="C90" s="76" t="inlineStr">
        <is>
          <t>关闭情况</t>
        </is>
      </c>
      <c r="D90" s="27" t="n"/>
      <c r="E90" s="27" t="n"/>
      <c r="F90" s="28" t="n"/>
      <c r="G90" s="69" t="inlineStr">
        <is>
          <t>按严重程度分布情况</t>
        </is>
      </c>
      <c r="H90" s="27" t="n"/>
      <c r="I90" s="27" t="n"/>
      <c r="J90" s="27" t="n"/>
      <c r="K90" s="27" t="n"/>
      <c r="L90" s="65" t="n"/>
    </row>
    <row r="91" ht="19.75" customHeight="1">
      <c r="A91" s="78">
        <f>'001产品审核报告-需求规格'!$D$10</f>
        <v/>
      </c>
      <c r="B91" s="79" t="n"/>
      <c r="C91" s="76" t="inlineStr">
        <is>
          <t>未关闭的产品NC数</t>
        </is>
      </c>
      <c r="D91" s="28" t="n"/>
      <c r="E91" s="76" t="inlineStr">
        <is>
          <t>产品NC关闭率</t>
        </is>
      </c>
      <c r="F91" s="28" t="n"/>
      <c r="G91" s="76" t="n"/>
      <c r="H91" s="28" t="n"/>
      <c r="I91" s="76" t="inlineStr">
        <is>
          <t>轻微</t>
        </is>
      </c>
      <c r="J91" s="28" t="n"/>
      <c r="K91" s="80" t="inlineStr">
        <is>
          <t>一般</t>
        </is>
      </c>
      <c r="L91" s="69" t="inlineStr">
        <is>
          <t>严重</t>
        </is>
      </c>
    </row>
    <row r="92" ht="19.75" customHeight="1">
      <c r="B92" s="81" t="n"/>
      <c r="C92" s="82" t="n">
        <v>0</v>
      </c>
      <c r="D92" s="37" t="n"/>
      <c r="E92" s="83">
        <f>IFERROR((A91-C92)/A91,0)</f>
        <v/>
      </c>
      <c r="F92" s="79" t="n"/>
      <c r="G92" s="76" t="inlineStr">
        <is>
          <t>NC数</t>
        </is>
      </c>
      <c r="H92" s="28" t="n"/>
      <c r="I92" s="82">
        <f>COUNTIF($K$8,"轻微")</f>
        <v/>
      </c>
      <c r="J92" s="28" t="n"/>
      <c r="K92" s="84">
        <f>COUNTIF($K$8,"一般")</f>
        <v/>
      </c>
      <c r="L92" s="85">
        <f>COUNTIF($K$8,"严重")</f>
        <v/>
      </c>
    </row>
    <row r="93" ht="19.75" customHeight="1">
      <c r="A93" s="86" t="n"/>
      <c r="B93" s="41" t="n"/>
      <c r="C93" s="87" t="n"/>
      <c r="D93" s="41" t="n"/>
      <c r="E93" s="86" t="n"/>
      <c r="F93" s="41" t="n"/>
      <c r="G93" s="76" t="inlineStr">
        <is>
          <t>所占比例</t>
        </is>
      </c>
      <c r="H93" s="28" t="n"/>
      <c r="I93" s="88">
        <f>IFERROR(I92/A91,0)</f>
        <v/>
      </c>
      <c r="J93" s="28" t="n"/>
      <c r="K93" s="89">
        <f>IFERROR(K92/A91,0)</f>
        <v/>
      </c>
      <c r="L93" s="90">
        <f>IFERROR(L92/A91,0)</f>
        <v/>
      </c>
    </row>
    <row r="94" ht="19.75" customHeight="1">
      <c r="A94" s="64" t="inlineStr">
        <is>
          <t>过程NC统计</t>
        </is>
      </c>
      <c r="B94" s="27" t="n"/>
      <c r="C94" s="27" t="n"/>
      <c r="D94" s="27" t="n"/>
      <c r="E94" s="27" t="n"/>
      <c r="F94" s="27" t="n"/>
      <c r="G94" s="27" t="n"/>
      <c r="H94" s="27" t="n"/>
      <c r="I94" s="27" t="n"/>
      <c r="J94" s="27" t="n"/>
      <c r="K94" s="27" t="n"/>
      <c r="L94" s="65" t="n"/>
    </row>
    <row r="95" ht="19.75" customHeight="1">
      <c r="A95" s="77" t="inlineStr">
        <is>
          <t>过程NC总数</t>
        </is>
      </c>
      <c r="B95" s="27" t="n"/>
      <c r="C95" s="76" t="inlineStr">
        <is>
          <t>关闭情况</t>
        </is>
      </c>
      <c r="D95" s="27" t="n"/>
      <c r="E95" s="27" t="n"/>
      <c r="F95" s="28" t="n"/>
      <c r="G95" s="69" t="inlineStr">
        <is>
          <t>按严重程度分布情况</t>
        </is>
      </c>
      <c r="H95" s="27" t="n"/>
      <c r="I95" s="27" t="n"/>
      <c r="J95" s="27" t="n"/>
      <c r="K95" s="27" t="n"/>
      <c r="L95" s="65" t="n"/>
    </row>
    <row r="96" ht="19.75" customHeight="1">
      <c r="A96" s="78" t="n">
        <v>0</v>
      </c>
      <c r="B96" s="79" t="n"/>
      <c r="C96" s="76" t="inlineStr">
        <is>
          <t>未关闭的过程NC数</t>
        </is>
      </c>
      <c r="D96" s="28" t="n"/>
      <c r="E96" s="76" t="inlineStr">
        <is>
          <t>过程NC关闭率</t>
        </is>
      </c>
      <c r="F96" s="28" t="n"/>
      <c r="G96" s="76" t="n"/>
      <c r="H96" s="28" t="n"/>
      <c r="I96" s="76" t="inlineStr">
        <is>
          <t>轻微</t>
        </is>
      </c>
      <c r="J96" s="28" t="n"/>
      <c r="K96" s="80" t="inlineStr">
        <is>
          <t>一般</t>
        </is>
      </c>
      <c r="L96" s="69" t="inlineStr">
        <is>
          <t>严重</t>
        </is>
      </c>
    </row>
    <row r="97" ht="19.75" customHeight="1">
      <c r="B97" s="81" t="n"/>
      <c r="C97" s="82" t="n">
        <v>0</v>
      </c>
      <c r="D97" s="37" t="n"/>
      <c r="E97" s="83" t="n">
        <v>0</v>
      </c>
      <c r="F97" s="79" t="n"/>
      <c r="G97" s="76" t="inlineStr">
        <is>
          <t>NC数</t>
        </is>
      </c>
      <c r="H97" s="28" t="n"/>
      <c r="I97" s="82" t="n">
        <v>0</v>
      </c>
      <c r="J97" s="28" t="n"/>
      <c r="K97" s="84" t="n">
        <v>0</v>
      </c>
      <c r="L97" s="85" t="n">
        <v>0</v>
      </c>
    </row>
    <row r="98" ht="19.75" customHeight="1">
      <c r="A98" s="86" t="n"/>
      <c r="B98" s="41" t="n"/>
      <c r="C98" s="87" t="n"/>
      <c r="D98" s="41" t="n"/>
      <c r="E98" s="86" t="n"/>
      <c r="F98" s="41" t="n"/>
      <c r="G98" s="76" t="inlineStr">
        <is>
          <t>所占比例</t>
        </is>
      </c>
      <c r="H98" s="28" t="n"/>
      <c r="I98" s="92" t="n"/>
      <c r="J98" s="28" t="n"/>
      <c r="K98" s="89" t="n"/>
      <c r="L98" s="90" t="n"/>
    </row>
    <row r="99" ht="19.75" customHeight="1">
      <c r="A99" s="64" t="inlineStr">
        <is>
          <t>过程及产品NC占比统计</t>
        </is>
      </c>
      <c r="B99" s="27" t="n"/>
      <c r="C99" s="27" t="n"/>
      <c r="D99" s="27" t="n"/>
      <c r="E99" s="27" t="n"/>
      <c r="F99" s="27" t="n"/>
      <c r="G99" s="27" t="n"/>
      <c r="H99" s="27" t="n"/>
      <c r="I99" s="27" t="n"/>
      <c r="J99" s="27" t="n"/>
      <c r="K99" s="27" t="n"/>
      <c r="L99" s="65" t="n"/>
    </row>
    <row r="100" ht="60.5" customHeight="1">
      <c r="A100" s="58" t="inlineStr">
        <is>
          <t>NC分布情况</t>
        </is>
      </c>
      <c r="B100" s="28" t="n"/>
      <c r="C100" s="60" t="inlineStr">
        <is>
          <t>RDM</t>
        </is>
      </c>
      <c r="D100" s="60" t="inlineStr">
        <is>
          <t>PP</t>
        </is>
      </c>
      <c r="E100" s="60" t="inlineStr">
        <is>
          <t>PMC</t>
        </is>
      </c>
      <c r="F100" s="60" t="inlineStr">
        <is>
          <t>CM</t>
        </is>
      </c>
      <c r="G100" s="60" t="inlineStr">
        <is>
          <t>MT</t>
        </is>
      </c>
      <c r="H100" s="60" t="inlineStr">
        <is>
          <t>MPM</t>
        </is>
      </c>
      <c r="I100" s="60" t="inlineStr">
        <is>
          <t>VV</t>
        </is>
      </c>
      <c r="J100" s="60" t="inlineStr">
        <is>
          <t>II</t>
        </is>
      </c>
      <c r="K100" s="60" t="inlineStr">
        <is>
          <t>工作产品</t>
        </is>
      </c>
      <c r="L100" s="93" t="inlineStr">
        <is>
          <t>总计</t>
        </is>
      </c>
    </row>
    <row r="101" ht="19.75" customHeight="1">
      <c r="A101" s="58" t="inlineStr">
        <is>
          <t>NC数</t>
        </is>
      </c>
      <c r="B101" s="28" t="n"/>
      <c r="C101" s="82" t="n">
        <v>0</v>
      </c>
      <c r="D101" s="82" t="n">
        <v>0</v>
      </c>
      <c r="E101" s="82" t="n">
        <v>0</v>
      </c>
      <c r="F101" s="82" t="n">
        <v>0</v>
      </c>
      <c r="G101" s="82" t="n">
        <v>0</v>
      </c>
      <c r="H101" s="82" t="n">
        <v>0</v>
      </c>
      <c r="I101" s="82" t="n">
        <v>0</v>
      </c>
      <c r="J101" s="82" t="n">
        <v>0</v>
      </c>
      <c r="K101" s="82">
        <f>$A$91</f>
        <v/>
      </c>
      <c r="L101" s="85">
        <f>SUM(C101:K101)</f>
        <v/>
      </c>
    </row>
    <row r="102" ht="19.75" customHeight="1">
      <c r="A102" s="58" t="inlineStr">
        <is>
          <t>所占比例</t>
        </is>
      </c>
      <c r="B102" s="28" t="n"/>
      <c r="C102" s="88">
        <f>IFERROR(C101/$L$101,0)</f>
        <v/>
      </c>
      <c r="D102" s="88">
        <f>IFERROR(D101/$L$101,0)</f>
        <v/>
      </c>
      <c r="E102" s="88">
        <f>IFERROR(E101/$L$101,0)</f>
        <v/>
      </c>
      <c r="F102" s="88">
        <f>IFERROR(F101/$L$101,0)</f>
        <v/>
      </c>
      <c r="G102" s="88">
        <f>IFERROR(G101/$L$101,0)</f>
        <v/>
      </c>
      <c r="H102" s="88">
        <f>IFERROR(H101/$L$101,0)</f>
        <v/>
      </c>
      <c r="I102" s="88">
        <f>IFERROR(I101/$L$101,0)</f>
        <v/>
      </c>
      <c r="J102" s="88">
        <f>IFERROR(J101/$L$101,0)</f>
        <v/>
      </c>
      <c r="K102" s="88">
        <f>IFERROR(K101/$L$101,0)</f>
        <v/>
      </c>
      <c r="L102" s="94" t="inlineStr">
        <is>
          <t>─</t>
        </is>
      </c>
    </row>
    <row r="103" ht="19.75" customHeight="1">
      <c r="A103" s="64" t="inlineStr">
        <is>
          <t>数据分析</t>
        </is>
      </c>
      <c r="B103" s="27" t="n"/>
      <c r="C103" s="27" t="n"/>
      <c r="D103" s="27" t="n"/>
      <c r="E103" s="27" t="n"/>
      <c r="F103" s="27" t="n"/>
      <c r="G103" s="27" t="n"/>
      <c r="H103" s="27" t="n"/>
      <c r="I103" s="27" t="n"/>
      <c r="J103" s="27" t="n"/>
      <c r="K103" s="27" t="n"/>
      <c r="L103" s="65" t="n"/>
    </row>
    <row r="104" ht="72.5" customHeight="1">
      <c r="A104" s="95" t="inlineStr">
        <is>
          <t>本阶段原型统计由检查单、单次审核报告和阶段报告公式逐级联动。</t>
        </is>
      </c>
      <c r="B104" s="96" t="n"/>
      <c r="C104" s="96" t="n"/>
      <c r="D104" s="96" t="n"/>
      <c r="E104" s="96" t="n"/>
      <c r="F104" s="96" t="n"/>
      <c r="G104" s="96" t="n"/>
      <c r="H104" s="96" t="n"/>
      <c r="I104" s="96" t="n"/>
      <c r="J104" s="96" t="n"/>
      <c r="K104" s="96" t="n"/>
      <c r="L104" s="97" t="n"/>
    </row>
  </sheetData>
  <mergeCells count="191">
    <mergeCell ref="A7:I7"/>
    <mergeCell ref="A41:I41"/>
    <mergeCell ref="A51:B51"/>
    <mergeCell ref="A31:B33"/>
    <mergeCell ref="A89:L89"/>
    <mergeCell ref="G23:H23"/>
    <mergeCell ref="A88:B88"/>
    <mergeCell ref="E32:F33"/>
    <mergeCell ref="G97:H97"/>
    <mergeCell ref="I26:J26"/>
    <mergeCell ref="G30:L30"/>
    <mergeCell ref="B70:I70"/>
    <mergeCell ref="A85:I85"/>
    <mergeCell ref="A90:B90"/>
    <mergeCell ref="G57:H57"/>
    <mergeCell ref="I88:K88"/>
    <mergeCell ref="E97:F98"/>
    <mergeCell ref="A56:B56"/>
    <mergeCell ref="B8:I8"/>
    <mergeCell ref="I58:J58"/>
    <mergeCell ref="B17:I17"/>
    <mergeCell ref="A101:B101"/>
    <mergeCell ref="B82:I82"/>
    <mergeCell ref="A19:I19"/>
    <mergeCell ref="C88:F88"/>
    <mergeCell ref="A76:B76"/>
    <mergeCell ref="G58:H58"/>
    <mergeCell ref="C58:D59"/>
    <mergeCell ref="D4:E4"/>
    <mergeCell ref="E58:F59"/>
    <mergeCell ref="I52:J52"/>
    <mergeCell ref="A34:L34"/>
    <mergeCell ref="A22:B22"/>
    <mergeCell ref="A35:B35"/>
    <mergeCell ref="B9:I9"/>
    <mergeCell ref="B74:I74"/>
    <mergeCell ref="A91:B93"/>
    <mergeCell ref="E91:F91"/>
    <mergeCell ref="B68:I68"/>
    <mergeCell ref="G91:H91"/>
    <mergeCell ref="A11:I11"/>
    <mergeCell ref="I49:K49"/>
    <mergeCell ref="C22:L22"/>
    <mergeCell ref="C56:F56"/>
    <mergeCell ref="A62:B62"/>
    <mergeCell ref="B83:I83"/>
    <mergeCell ref="A48:B48"/>
    <mergeCell ref="G59:H59"/>
    <mergeCell ref="A30:B30"/>
    <mergeCell ref="B75:I75"/>
    <mergeCell ref="B47:I47"/>
    <mergeCell ref="C48:L48"/>
    <mergeCell ref="B3:L3"/>
    <mergeCell ref="B46:I46"/>
    <mergeCell ref="A79:B79"/>
    <mergeCell ref="A61:B61"/>
    <mergeCell ref="A55:L55"/>
    <mergeCell ref="C79:J79"/>
    <mergeCell ref="A87:B87"/>
    <mergeCell ref="B12:I12"/>
    <mergeCell ref="I57:J57"/>
    <mergeCell ref="A104:L104"/>
    <mergeCell ref="B21:I21"/>
    <mergeCell ref="B86:I86"/>
    <mergeCell ref="I54:J54"/>
    <mergeCell ref="C87:L87"/>
    <mergeCell ref="I32:J32"/>
    <mergeCell ref="A5:L5"/>
    <mergeCell ref="C10:J10"/>
    <mergeCell ref="I23:K23"/>
    <mergeCell ref="A37:B37"/>
    <mergeCell ref="C30:F30"/>
    <mergeCell ref="C53:D54"/>
    <mergeCell ref="E53:F54"/>
    <mergeCell ref="I96:J96"/>
    <mergeCell ref="G49:H49"/>
    <mergeCell ref="B13:I13"/>
    <mergeCell ref="A38:L38"/>
    <mergeCell ref="B78:I78"/>
    <mergeCell ref="G33:H33"/>
    <mergeCell ref="I33:J33"/>
    <mergeCell ref="I98:J98"/>
    <mergeCell ref="A77:I77"/>
    <mergeCell ref="A26:B28"/>
    <mergeCell ref="G88:H88"/>
    <mergeCell ref="E26:F26"/>
    <mergeCell ref="G26:H26"/>
    <mergeCell ref="C91:D91"/>
    <mergeCell ref="A24:L24"/>
    <mergeCell ref="A100:B100"/>
    <mergeCell ref="A60:L60"/>
    <mergeCell ref="A63:B63"/>
    <mergeCell ref="A10:B10"/>
    <mergeCell ref="C57:D57"/>
    <mergeCell ref="C72:J72"/>
    <mergeCell ref="C90:F90"/>
    <mergeCell ref="A45:I45"/>
    <mergeCell ref="I59:J59"/>
    <mergeCell ref="A102:B102"/>
    <mergeCell ref="A52:B54"/>
    <mergeCell ref="A49:B49"/>
    <mergeCell ref="C6:J6"/>
    <mergeCell ref="A80:I80"/>
    <mergeCell ref="A36:B36"/>
    <mergeCell ref="C14:J14"/>
    <mergeCell ref="E52:F52"/>
    <mergeCell ref="A50:L50"/>
    <mergeCell ref="C27:D28"/>
    <mergeCell ref="A2:L2"/>
    <mergeCell ref="F4:I4"/>
    <mergeCell ref="I97:J97"/>
    <mergeCell ref="C31:D31"/>
    <mergeCell ref="E31:F31"/>
    <mergeCell ref="G25:L25"/>
    <mergeCell ref="A29:L29"/>
    <mergeCell ref="B69:I69"/>
    <mergeCell ref="A14:B14"/>
    <mergeCell ref="A67:I67"/>
    <mergeCell ref="C76:J76"/>
    <mergeCell ref="A23:B23"/>
    <mergeCell ref="C92:D93"/>
    <mergeCell ref="E92:F93"/>
    <mergeCell ref="A57:B59"/>
    <mergeCell ref="E57:F57"/>
    <mergeCell ref="A64:L64"/>
    <mergeCell ref="G54:H54"/>
    <mergeCell ref="G32:H32"/>
    <mergeCell ref="C66:J66"/>
    <mergeCell ref="C95:F95"/>
    <mergeCell ref="A40:B40"/>
    <mergeCell ref="C51:F51"/>
    <mergeCell ref="A96:B98"/>
    <mergeCell ref="E96:F96"/>
    <mergeCell ref="B4:C4"/>
    <mergeCell ref="G96:H96"/>
    <mergeCell ref="C23:F23"/>
    <mergeCell ref="G52:H52"/>
    <mergeCell ref="B16:I16"/>
    <mergeCell ref="B81:I81"/>
    <mergeCell ref="A99:L99"/>
    <mergeCell ref="G27:H27"/>
    <mergeCell ref="G98:H98"/>
    <mergeCell ref="I27:J27"/>
    <mergeCell ref="E27:F28"/>
    <mergeCell ref="B71:I71"/>
    <mergeCell ref="C26:D26"/>
    <mergeCell ref="A6:B6"/>
    <mergeCell ref="B43:I43"/>
    <mergeCell ref="I91:J91"/>
    <mergeCell ref="C32:D33"/>
    <mergeCell ref="A25:B25"/>
    <mergeCell ref="G95:L95"/>
    <mergeCell ref="C49:F49"/>
    <mergeCell ref="A65:L65"/>
    <mergeCell ref="B42:I42"/>
    <mergeCell ref="A84:B84"/>
    <mergeCell ref="A66:B66"/>
    <mergeCell ref="C84:J84"/>
    <mergeCell ref="G28:H28"/>
    <mergeCell ref="G93:H93"/>
    <mergeCell ref="C44:J44"/>
    <mergeCell ref="I28:J28"/>
    <mergeCell ref="A18:B18"/>
    <mergeCell ref="I93:J93"/>
    <mergeCell ref="G51:L51"/>
    <mergeCell ref="G53:H53"/>
    <mergeCell ref="I53:J53"/>
    <mergeCell ref="C40:J40"/>
    <mergeCell ref="C96:D96"/>
    <mergeCell ref="G92:H92"/>
    <mergeCell ref="I92:J92"/>
    <mergeCell ref="A95:B95"/>
    <mergeCell ref="G90:L90"/>
    <mergeCell ref="G56:L56"/>
    <mergeCell ref="C25:F25"/>
    <mergeCell ref="C52:D52"/>
    <mergeCell ref="A39:L39"/>
    <mergeCell ref="A15:I15"/>
    <mergeCell ref="A73:I73"/>
    <mergeCell ref="A72:B72"/>
    <mergeCell ref="B20:I20"/>
    <mergeCell ref="A1:L1"/>
    <mergeCell ref="A103:L103"/>
    <mergeCell ref="A94:L94"/>
    <mergeCell ref="C97:D98"/>
    <mergeCell ref="G31:H31"/>
    <mergeCell ref="A44:B44"/>
    <mergeCell ref="I31:J31"/>
    <mergeCell ref="K4:L4"/>
    <mergeCell ref="M4:N4"/>
    <mergeCell ref="C18:J18"/>
  </mergeCells>
  <pageMargins left="0.7" right="0.7" top="0.75" bottom="0.75" header="0.3" footer="0.3"/>
  <pageSetup orientation="landscape" paperSize="9" scale="88"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2026-08-14T06:19:32Z</dcterms:created>
  <dcterms:modified xmlns:dcterms="http://purl.org/dc/terms/" xmlns:xsi="http://www.w3.org/2001/XMLSchema-instance" xsi:type="dcterms:W3CDTF">2026-08-14T06:19:33Z</dcterms:modified>
</cp:coreProperties>
</file>