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48-审核项目策划" sheetId="3" state="visible" r:id="rId3"/>
    <sheet xmlns:r="http://schemas.openxmlformats.org/officeDocument/2006/relationships" name="R048-审核项目策划" sheetId="4" state="visible" r:id="rId4"/>
    <sheet xmlns:r="http://schemas.openxmlformats.org/officeDocument/2006/relationships" name="C049-审核验证与确认过程" sheetId="5" state="visible" r:id="rId5"/>
    <sheet xmlns:r="http://schemas.openxmlformats.org/officeDocument/2006/relationships" name="R049-审核验证与确认过程" sheetId="6" state="visible" r:id="rId6"/>
    <sheet xmlns:r="http://schemas.openxmlformats.org/officeDocument/2006/relationships" name="C050-审核配置管理过程-阶段" sheetId="7" state="visible" r:id="rId7"/>
    <sheet xmlns:r="http://schemas.openxmlformats.org/officeDocument/2006/relationships" name="R050-审核配置管理过程-阶段" sheetId="8" state="visible" r:id="rId8"/>
    <sheet xmlns:r="http://schemas.openxmlformats.org/officeDocument/2006/relationships" name="C051-审核项目监控过程-阶段" sheetId="9" state="visible" r:id="rId9"/>
    <sheet xmlns:r="http://schemas.openxmlformats.org/officeDocument/2006/relationships" name="R051-审核项目监控过程-阶段" sheetId="10" state="visible" r:id="rId10"/>
    <sheet xmlns:r="http://schemas.openxmlformats.org/officeDocument/2006/relationships" name="C052-审核测量与绩效管理-阶段" sheetId="11" state="visible" r:id="rId11"/>
    <sheet xmlns:r="http://schemas.openxmlformats.org/officeDocument/2006/relationships" name="R052-审核测量与绩效管理-阶段" sheetId="12" state="visible" r:id="rId12"/>
    <sheet xmlns:r="http://schemas.openxmlformats.org/officeDocument/2006/relationships" name="_计算" sheetId="13" state="hidden" r:id="rId13"/>
  </sheets>
  <definedNames>
    <definedName name="_xlnm._FilterDatabase" localSheetId="0" hidden="1">'审核目录'!$A$4:$D$9</definedName>
    <definedName name="_xlnm.Print_Area" localSheetId="0">'审核目录'!$A$1:$D$9</definedName>
    <definedName name="_xlnm.Print_Titles" localSheetId="1">'阶段质量审核工作报告'!$1:$7</definedName>
    <definedName name="_xlnm.Print_Area" localSheetId="1">'阶段质量审核工作报告'!$A$1:$L$22</definedName>
    <definedName name="_xlnm.Print_Titles" localSheetId="2">'C048-审核项目策划'!$1:$6</definedName>
    <definedName name="_xlnm.Print_Area" localSheetId="2">'C048-审核项目策划'!$A$1:$L$37</definedName>
    <definedName name="_xlnm.Print_Titles" localSheetId="3">'R048-审核项目策划'!$1:$12</definedName>
    <definedName name="_xlnm.Print_Area" localSheetId="3">'R048-审核项目策划'!$B$1:$K$17</definedName>
    <definedName name="_xlnm.Print_Titles" localSheetId="4">'C049-审核验证与确认过程'!$1:$6</definedName>
    <definedName name="_xlnm.Print_Area" localSheetId="4">'C049-审核验证与确认过程'!$A$1:$L$39</definedName>
    <definedName name="_xlnm.Print_Titles" localSheetId="5">'R049-审核验证与确认过程'!$1:$12</definedName>
    <definedName name="_xlnm.Print_Area" localSheetId="5">'R049-审核验证与确认过程'!$B$1:$K$18</definedName>
    <definedName name="_xlnm.Print_Titles" localSheetId="6">'C050-审核配置管理过程-阶段'!$1:$6</definedName>
    <definedName name="_xlnm.Print_Area" localSheetId="6">'C050-审核配置管理过程-阶段'!$A$1:$L$34</definedName>
    <definedName name="_xlnm.Print_Titles" localSheetId="7">'R050-审核配置管理过程-阶段'!$1:$12</definedName>
    <definedName name="_xlnm.Print_Area" localSheetId="7">'R050-审核配置管理过程-阶段'!$B$1:$K$18</definedName>
    <definedName name="_xlnm.Print_Titles" localSheetId="8">'C051-审核项目监控过程-阶段'!$1:$6</definedName>
    <definedName name="_xlnm.Print_Area" localSheetId="8">'C051-审核项目监控过程-阶段'!$A$1:$L$45</definedName>
    <definedName name="_xlnm.Print_Titles" localSheetId="9">'R051-审核项目监控过程-阶段'!$1:$12</definedName>
    <definedName name="_xlnm.Print_Area" localSheetId="9">'R051-审核项目监控过程-阶段'!$B$1:$K$17</definedName>
    <definedName name="_xlnm.Print_Titles" localSheetId="10">'C052-审核测量与绩效管理-阶段'!$1:$6</definedName>
    <definedName name="_xlnm.Print_Area" localSheetId="10">'C052-审核测量与绩效管理-阶段'!$A$1:$L$27</definedName>
    <definedName name="_xlnm.Print_Titles" localSheetId="11">'R052-审核测量与绩效管理-阶段'!$1:$12</definedName>
    <definedName name="_xlnm.Print_Area" localSheetId="11">'R052-审核测量与绩效管理-阶段'!$B$1:$K$18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48-&#23457;&#26680;&#39033;&#30446;&#31574;&#21010;'!A1" TargetMode="External" Id="rId1"/><Relationship Type="http://schemas.openxmlformats.org/officeDocument/2006/relationships/hyperlink" Target="#'R048-&#23457;&#26680;&#39033;&#30446;&#31574;&#21010;'!A1" TargetMode="External" Id="rId2"/><Relationship Type="http://schemas.openxmlformats.org/officeDocument/2006/relationships/hyperlink" Target="#'C049-&#23457;&#26680;&#39564;&#35777;&#19982;&#30830;&#35748;&#36807;&#31243;'!A1" TargetMode="External" Id="rId3"/><Relationship Type="http://schemas.openxmlformats.org/officeDocument/2006/relationships/hyperlink" Target="#'R049-&#23457;&#26680;&#39564;&#35777;&#19982;&#30830;&#35748;&#36807;&#31243;'!A1" TargetMode="External" Id="rId4"/><Relationship Type="http://schemas.openxmlformats.org/officeDocument/2006/relationships/hyperlink" Target="#'C050-&#23457;&#26680;&#37197;&#32622;&#31649;&#29702;&#36807;&#31243;-&#38454;&#27573;'!A1" TargetMode="External" Id="rId5"/><Relationship Type="http://schemas.openxmlformats.org/officeDocument/2006/relationships/hyperlink" Target="#'R050-&#23457;&#26680;&#37197;&#32622;&#31649;&#29702;&#36807;&#31243;-&#38454;&#27573;'!A1" TargetMode="External" Id="rId6"/><Relationship Type="http://schemas.openxmlformats.org/officeDocument/2006/relationships/hyperlink" Target="#'C051-&#23457;&#26680;&#39033;&#30446;&#30417;&#25511;&#36807;&#31243;-&#38454;&#27573;'!A1" TargetMode="External" Id="rId7"/><Relationship Type="http://schemas.openxmlformats.org/officeDocument/2006/relationships/hyperlink" Target="#'R051-&#23457;&#26680;&#39033;&#30446;&#30417;&#25511;&#36807;&#31243;-&#38454;&#27573;'!A1" TargetMode="External" Id="rId8"/><Relationship Type="http://schemas.openxmlformats.org/officeDocument/2006/relationships/hyperlink" Target="#'C052-&#23457;&#26680;&#27979;&#37327;&#19982;&#32489;&#25928;&#31649;&#29702;-&#38454;&#27573;'!A1" TargetMode="External" Id="rId9"/><Relationship Type="http://schemas.openxmlformats.org/officeDocument/2006/relationships/hyperlink" Target="#'R052-&#23457;&#26680;&#27979;&#37327;&#19982;&#32489;&#25928;&#31649;&#29702;-&#38454;&#2757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阶段：验收与交付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48</v>
      </c>
      <c r="B5" s="3" t="inlineStr">
        <is>
          <t>审核项目策划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49</v>
      </c>
      <c r="B6" s="3" t="inlineStr">
        <is>
          <t>审核验证与确认过程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50</v>
      </c>
      <c r="B7" s="3" t="inlineStr">
        <is>
          <t>审核配置管理过程-阶段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51</v>
      </c>
      <c r="B8" s="3" t="inlineStr">
        <is>
          <t>审核项目监控过程-阶段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52</v>
      </c>
      <c r="B9" s="3" t="inlineStr">
        <is>
          <t>审核测量与绩效管理-阶段</t>
        </is>
      </c>
      <c r="C9" s="5" t="inlineStr">
        <is>
          <t>打开检查单</t>
        </is>
      </c>
      <c r="D9" s="5" t="inlineStr">
        <is>
          <t>打开审核报告</t>
        </is>
      </c>
    </row>
  </sheetData>
  <autoFilter ref="A4:D9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验收与交付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2026-03-31 至 2026-04-20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阶段汇总：2026-04-20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48</v>
      </c>
      <c r="B9" s="3" t="inlineStr">
        <is>
          <t>审核项目策划</t>
        </is>
      </c>
      <c r="C9" s="3" t="inlineStr">
        <is>
          <t>2026-04-01</t>
        </is>
      </c>
      <c r="D9" s="3" t="inlineStr">
        <is>
          <t>阶段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30" customHeight="1">
      <c r="A10" s="3" t="n">
        <v>49</v>
      </c>
      <c r="B10" s="3">
        <f>'_计算'!B2</f>
        <v/>
      </c>
      <c r="C10" s="3" t="inlineStr">
        <is>
          <t>2026-04-20</t>
        </is>
      </c>
      <c r="D10" s="3" t="inlineStr">
        <is>
          <t>阶段</t>
        </is>
      </c>
      <c r="E10" s="3">
        <f>'_计算'!D2</f>
        <v/>
      </c>
      <c r="F10" s="3">
        <f>'_计算'!E2</f>
        <v/>
      </c>
      <c r="G10" s="3" t="n"/>
      <c r="H10" s="3" t="n"/>
      <c r="I10" s="3" t="n"/>
      <c r="J10" s="3">
        <f>'_计算'!F2</f>
        <v/>
      </c>
      <c r="K10" s="3">
        <f>'_计算'!G2</f>
        <v/>
      </c>
      <c r="L10" s="3" t="inlineStr">
        <is>
          <t>未确认</t>
        </is>
      </c>
    </row>
    <row r="11" ht="30" customHeight="1">
      <c r="A11" s="3" t="n">
        <v>49</v>
      </c>
      <c r="B11" s="3">
        <f>'_计算'!B3</f>
        <v/>
      </c>
      <c r="C11" s="3" t="inlineStr">
        <is>
          <t>2026-04-20</t>
        </is>
      </c>
      <c r="D11" s="3" t="inlineStr">
        <is>
          <t>阶段</t>
        </is>
      </c>
      <c r="E11" s="3">
        <f>'_计算'!D3</f>
        <v/>
      </c>
      <c r="F11" s="3">
        <f>'_计算'!E3</f>
        <v/>
      </c>
      <c r="G11" s="3" t="n"/>
      <c r="H11" s="3" t="n"/>
      <c r="I11" s="3" t="n"/>
      <c r="J11" s="3">
        <f>'_计算'!F3</f>
        <v/>
      </c>
      <c r="K11" s="3">
        <f>'_计算'!G3</f>
        <v/>
      </c>
      <c r="L11" s="3" t="inlineStr">
        <is>
          <t>未确认</t>
        </is>
      </c>
    </row>
    <row r="12" ht="30" customHeight="1">
      <c r="A12" s="3" t="n">
        <v>50</v>
      </c>
      <c r="B12" s="3">
        <f>'_计算'!B4</f>
        <v/>
      </c>
      <c r="C12" s="3" t="inlineStr">
        <is>
          <t>2026-04-20</t>
        </is>
      </c>
      <c r="D12" s="3" t="inlineStr">
        <is>
          <t>阶段</t>
        </is>
      </c>
      <c r="E12" s="3">
        <f>'_计算'!D4</f>
        <v/>
      </c>
      <c r="F12" s="3">
        <f>'_计算'!E4</f>
        <v/>
      </c>
      <c r="G12" s="3" t="n"/>
      <c r="H12" s="3" t="n"/>
      <c r="I12" s="3" t="n"/>
      <c r="J12" s="3">
        <f>'_计算'!F4</f>
        <v/>
      </c>
      <c r="K12" s="3">
        <f>'_计算'!G4</f>
        <v/>
      </c>
      <c r="L12" s="3" t="inlineStr">
        <is>
          <t>未确认</t>
        </is>
      </c>
    </row>
    <row r="13" ht="30" customHeight="1">
      <c r="A13" s="3" t="n">
        <v>50</v>
      </c>
      <c r="B13" s="3">
        <f>'_计算'!B5</f>
        <v/>
      </c>
      <c r="C13" s="3" t="inlineStr">
        <is>
          <t>2026-04-20</t>
        </is>
      </c>
      <c r="D13" s="3" t="inlineStr">
        <is>
          <t>阶段</t>
        </is>
      </c>
      <c r="E13" s="3">
        <f>'_计算'!D5</f>
        <v/>
      </c>
      <c r="F13" s="3">
        <f>'_计算'!E5</f>
        <v/>
      </c>
      <c r="G13" s="3" t="n"/>
      <c r="H13" s="3" t="n"/>
      <c r="I13" s="3" t="n"/>
      <c r="J13" s="3">
        <f>'_计算'!F5</f>
        <v/>
      </c>
      <c r="K13" s="3">
        <f>'_计算'!G5</f>
        <v/>
      </c>
      <c r="L13" s="3" t="inlineStr">
        <is>
          <t>未确认</t>
        </is>
      </c>
    </row>
    <row r="14" ht="30" customHeight="1">
      <c r="A14" s="3" t="n">
        <v>51</v>
      </c>
      <c r="B14" s="3">
        <f>'_计算'!B6</f>
        <v/>
      </c>
      <c r="C14" s="3" t="inlineStr">
        <is>
          <t>2026-04-20</t>
        </is>
      </c>
      <c r="D14" s="3" t="inlineStr">
        <is>
          <t>阶段</t>
        </is>
      </c>
      <c r="E14" s="3">
        <f>'_计算'!D6</f>
        <v/>
      </c>
      <c r="F14" s="3">
        <f>'_计算'!E6</f>
        <v/>
      </c>
      <c r="G14" s="3" t="n"/>
      <c r="H14" s="3" t="n"/>
      <c r="I14" s="3" t="n"/>
      <c r="J14" s="3">
        <f>'_计算'!F6</f>
        <v/>
      </c>
      <c r="K14" s="3">
        <f>'_计算'!G6</f>
        <v/>
      </c>
      <c r="L14" s="3" t="inlineStr">
        <is>
          <t>未确认</t>
        </is>
      </c>
    </row>
    <row r="15" ht="30" customHeight="1">
      <c r="A15" s="3" t="n">
        <v>52</v>
      </c>
      <c r="B15" s="3">
        <f>'_计算'!B7</f>
        <v/>
      </c>
      <c r="C15" s="3" t="inlineStr">
        <is>
          <t>2026-04-20</t>
        </is>
      </c>
      <c r="D15" s="3" t="inlineStr">
        <is>
          <t>阶段</t>
        </is>
      </c>
      <c r="E15" s="3">
        <f>'_计算'!D7</f>
        <v/>
      </c>
      <c r="F15" s="3">
        <f>'_计算'!E7</f>
        <v/>
      </c>
      <c r="G15" s="3" t="n"/>
      <c r="H15" s="3" t="n"/>
      <c r="I15" s="3" t="n"/>
      <c r="J15" s="3">
        <f>'_计算'!F7</f>
        <v/>
      </c>
      <c r="K15" s="3">
        <f>'_计算'!G7</f>
        <v/>
      </c>
      <c r="L15" s="3" t="inlineStr">
        <is>
          <t>未确认</t>
        </is>
      </c>
    </row>
    <row r="16" ht="30" customHeight="1">
      <c r="A16" s="3" t="n">
        <v>52</v>
      </c>
      <c r="B16" s="3">
        <f>'_计算'!B8</f>
        <v/>
      </c>
      <c r="C16" s="3" t="inlineStr">
        <is>
          <t>2026-04-20</t>
        </is>
      </c>
      <c r="D16" s="3" t="inlineStr">
        <is>
          <t>阶段</t>
        </is>
      </c>
      <c r="E16" s="3">
        <f>'_计算'!D8</f>
        <v/>
      </c>
      <c r="F16" s="3">
        <f>'_计算'!E8</f>
        <v/>
      </c>
      <c r="G16" s="3" t="n"/>
      <c r="H16" s="3" t="n"/>
      <c r="I16" s="3" t="n"/>
      <c r="J16" s="3">
        <f>'_计算'!F8</f>
        <v/>
      </c>
      <c r="K16" s="3">
        <f>'_计算'!G8</f>
        <v/>
      </c>
      <c r="L16" s="3" t="inlineStr">
        <is>
          <t>未确认</t>
        </is>
      </c>
    </row>
    <row r="17">
      <c r="A17" s="7" t="inlineStr">
        <is>
          <t>节点统计</t>
        </is>
      </c>
      <c r="B17" s="7" t="n"/>
      <c r="C17" s="7" t="n"/>
      <c r="D17" s="7" t="n"/>
      <c r="E17" s="7" t="inlineStr">
        <is>
          <t>NC总数</t>
        </is>
      </c>
      <c r="F17" s="7">
        <f>COUNTIF(J9:J16,"?*")</f>
        <v/>
      </c>
      <c r="G17" s="7" t="inlineStr">
        <is>
          <t>未关闭</t>
        </is>
      </c>
      <c r="H17" s="7">
        <f>COUNTIF(K9:K16,"否")</f>
        <v/>
      </c>
      <c r="I17" s="7" t="inlineStr">
        <is>
          <t>严重</t>
        </is>
      </c>
      <c r="J17" s="7">
        <f>COUNTIF(J9:J16,"严重")</f>
        <v/>
      </c>
      <c r="K17" s="7" t="n"/>
      <c r="L17" s="7" t="n"/>
    </row>
    <row r="19">
      <c r="A19" s="8" t="inlineStr">
        <is>
          <t>阶段汇总统计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7" t="inlineStr">
        <is>
          <t>产品NC总数</t>
        </is>
      </c>
      <c r="B20" s="7">
        <f>COUNTIF('_计算'!D2:D8,"工作产品")</f>
        <v/>
      </c>
      <c r="C20" s="7" t="inlineStr">
        <is>
          <t>过程NC总数</t>
        </is>
      </c>
      <c r="D20" s="7">
        <f>COUNTIFS('_计算'!D2:D8,"&lt;&gt;工作产品",'_计算'!D2:D8,"&lt;&gt;")</f>
        <v/>
      </c>
      <c r="E20" s="7" t="inlineStr">
        <is>
          <t>未关闭NC数</t>
        </is>
      </c>
      <c r="F20" s="7">
        <f>COUNTIF('_计算'!G2:G8,"否")</f>
        <v/>
      </c>
      <c r="G20" s="7" t="inlineStr">
        <is>
          <t>轻微</t>
        </is>
      </c>
      <c r="H20" s="7">
        <f>COUNTIF('_计算'!F2:F8,"轻微")</f>
        <v/>
      </c>
      <c r="I20" s="7" t="inlineStr">
        <is>
          <t>一般</t>
        </is>
      </c>
      <c r="J20" s="7">
        <f>COUNTIF('_计算'!F2:F8,"一般")</f>
        <v/>
      </c>
      <c r="K20" s="7" t="inlineStr">
        <is>
          <t>严重</t>
        </is>
      </c>
      <c r="L20" s="7">
        <f>COUNTIF('_计算'!F2:F8,"严重")</f>
        <v/>
      </c>
    </row>
    <row r="21">
      <c r="A21" s="4" t="inlineStr">
        <is>
          <t>RDM</t>
        </is>
      </c>
      <c r="B21" s="4" t="inlineStr">
        <is>
          <t>PP</t>
        </is>
      </c>
      <c r="C21" s="4" t="inlineStr">
        <is>
          <t>PMC</t>
        </is>
      </c>
      <c r="D21" s="4" t="inlineStr">
        <is>
          <t>CM</t>
        </is>
      </c>
      <c r="E21" s="4" t="inlineStr">
        <is>
          <t>MT</t>
        </is>
      </c>
      <c r="F21" s="4" t="inlineStr">
        <is>
          <t>MPM</t>
        </is>
      </c>
      <c r="G21" s="4" t="inlineStr">
        <is>
          <t>VV</t>
        </is>
      </c>
      <c r="H21" s="4" t="inlineStr">
        <is>
          <t>II</t>
        </is>
      </c>
      <c r="I21" s="4" t="inlineStr">
        <is>
          <t>工作产品</t>
        </is>
      </c>
      <c r="J21" s="4" t="inlineStr">
        <is>
          <t>总计</t>
        </is>
      </c>
    </row>
    <row r="22">
      <c r="A22" s="4">
        <f>COUNTIF('_计算'!D2:D8,"RDM")</f>
        <v/>
      </c>
      <c r="B22" s="4">
        <f>COUNTIF('_计算'!D2:D8,"PP")</f>
        <v/>
      </c>
      <c r="C22" s="4">
        <f>COUNTIF('_计算'!D2:D8,"PMC")</f>
        <v/>
      </c>
      <c r="D22" s="4">
        <f>COUNTIF('_计算'!D2:D8,"CM")</f>
        <v/>
      </c>
      <c r="E22" s="4">
        <f>COUNTIF('_计算'!D2:D8,"MT")</f>
        <v/>
      </c>
      <c r="F22" s="4">
        <f>COUNTIF('_计算'!D2:D8,"MPM")</f>
        <v/>
      </c>
      <c r="G22" s="4">
        <f>COUNTIF('_计算'!D2:D8,"VV")</f>
        <v/>
      </c>
      <c r="H22" s="4">
        <f>COUNTIF('_计算'!D2:D8,"II")</f>
        <v/>
      </c>
      <c r="I22" s="4">
        <f>COUNTIF('_计算'!D2:D8,"工作产品")</f>
        <v/>
      </c>
      <c r="J22" s="4">
        <f>SUM(A22:I22)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F13:I13"/>
    <mergeCell ref="A17:D17"/>
    <mergeCell ref="F9:I9"/>
    <mergeCell ref="I4:L4"/>
    <mergeCell ref="F14:I14"/>
    <mergeCell ref="A2:L2"/>
    <mergeCell ref="C3:F3"/>
    <mergeCell ref="F11:I11"/>
    <mergeCell ref="A8:L8"/>
    <mergeCell ref="F16:I16"/>
    <mergeCell ref="F10:I10"/>
    <mergeCell ref="A3:B3"/>
    <mergeCell ref="G3:H3"/>
    <mergeCell ref="A19:L19"/>
    <mergeCell ref="C4:F4"/>
    <mergeCell ref="F12:I12"/>
    <mergeCell ref="F15:I15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2026-04-01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n"/>
      <c r="H26" s="3" t="inlineStr">
        <is>
          <t>✓</t>
        </is>
      </c>
      <c r="I26" s="3" t="n"/>
      <c r="J26" s="3" t="inlineStr">
        <is>
          <t>严重</t>
        </is>
      </c>
      <c r="K26" s="3" t="inlineStr">
        <is>
          <t>必要内容覆盖不完整</t>
        </is>
      </c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51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2026-04-20</t>
        </is>
      </c>
      <c r="I38" s="3" t="inlineStr">
        <is>
          <t>2026-04-20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  <row r="39" ht="30" customHeight="1">
      <c r="A39" s="3" t="n">
        <v>52</v>
      </c>
      <c r="B39" s="3" t="inlineStr">
        <is>
          <t>6</t>
        </is>
      </c>
      <c r="C39" s="3" t="inlineStr">
        <is>
          <t>相关工作产品未完整覆盖本检查项要求的必要内容和适用场景，当前结果不能支撑该项要求已经全部落实。</t>
        </is>
      </c>
      <c r="D39" s="3" t="n"/>
      <c r="E39" s="3" t="n"/>
      <c r="F39" s="3" t="inlineStr">
        <is>
          <t>严重</t>
        </is>
      </c>
      <c r="G39" s="3" t="inlineStr">
        <is>
          <t>赵要浦</t>
        </is>
      </c>
      <c r="H39" s="3" t="inlineStr">
        <is>
          <t>2026-04-20</t>
        </is>
      </c>
      <c r="I39" s="3" t="inlineStr">
        <is>
          <t>2026-04-20</t>
        </is>
      </c>
      <c r="J39" s="3" t="inlineStr">
        <is>
          <t>补齐遗漏内容和适用场景，核对相关输入后组织复核，并保留复核结论。</t>
        </is>
      </c>
      <c r="K39" s="3" t="n"/>
      <c r="L3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0">
    <mergeCell ref="K16:L16"/>
    <mergeCell ref="F4:G4"/>
    <mergeCell ref="J39:K39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C39:E39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'C049-审核验证与确认过程'!C38</f>
        <v/>
      </c>
      <c r="D13" s="3" t="n"/>
      <c r="E13" s="3" t="n"/>
      <c r="F13" s="3">
        <f>'C049-审核验证与确认过程'!F38</f>
        <v/>
      </c>
      <c r="G13" s="3">
        <f>'C049-审核验证与确认过程'!G38</f>
        <v/>
      </c>
      <c r="H13" s="3">
        <f>'C049-审核验证与确认过程'!H38</f>
        <v/>
      </c>
      <c r="I13" s="3">
        <f>'C049-审核验证与确认过程'!I38</f>
        <v/>
      </c>
      <c r="J13" s="3">
        <f>'C049-审核验证与确认过程'!J38</f>
        <v/>
      </c>
      <c r="K13" s="3" t="n"/>
    </row>
    <row r="14" ht="30" customHeight="1">
      <c r="B14" s="3" t="n">
        <v>2</v>
      </c>
      <c r="C14" s="3">
        <f>'C049-审核验证与确认过程'!C39</f>
        <v/>
      </c>
      <c r="D14" s="3" t="n"/>
      <c r="E14" s="3" t="n"/>
      <c r="F14" s="3">
        <f>'C049-审核验证与确认过程'!F39</f>
        <v/>
      </c>
      <c r="G14" s="3">
        <f>'C049-审核验证与确认过程'!G39</f>
        <v/>
      </c>
      <c r="H14" s="3">
        <f>'C049-审核验证与确认过程'!H39</f>
        <v/>
      </c>
      <c r="I14" s="3">
        <f>'C049-审核验证与确认过程'!I39</f>
        <v/>
      </c>
      <c r="J14" s="3">
        <f>'C049-审核验证与确认过程'!J39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n"/>
      <c r="H21" s="3" t="inlineStr">
        <is>
          <t>✓</t>
        </is>
      </c>
      <c r="I21" s="3" t="n"/>
      <c r="J21" s="3" t="inlineStr">
        <is>
          <t>一般</t>
        </is>
      </c>
      <c r="K21" s="3" t="inlineStr">
        <is>
          <t>必要内容覆盖不完整</t>
        </is>
      </c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n"/>
      <c r="H22" s="3" t="inlineStr">
        <is>
          <t>✓</t>
        </is>
      </c>
      <c r="I22" s="3" t="n"/>
      <c r="J22" s="3" t="inlineStr">
        <is>
          <t>严重</t>
        </is>
      </c>
      <c r="K22" s="3" t="inlineStr">
        <is>
          <t>必要内容覆盖不完整</t>
        </is>
      </c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 ht="30" customHeight="1">
      <c r="A33" s="3" t="n">
        <v>53</v>
      </c>
      <c r="B33" s="3" t="inlineStr">
        <is>
          <t>14</t>
        </is>
      </c>
      <c r="C33" s="3" t="inlineStr">
        <is>
          <t>相关工作产品未完整覆盖本检查项要求的必要内容和适用场景，当前结果不能支撑该项要求已经全部落实。</t>
        </is>
      </c>
      <c r="D33" s="3" t="n"/>
      <c r="E33" s="3" t="n"/>
      <c r="F33" s="3" t="inlineStr">
        <is>
          <t>一般</t>
        </is>
      </c>
      <c r="G33" s="3" t="inlineStr">
        <is>
          <t>赵要浦</t>
        </is>
      </c>
      <c r="H33" s="3" t="inlineStr">
        <is>
          <t>2026-04-20</t>
        </is>
      </c>
      <c r="I33" s="3" t="inlineStr">
        <is>
          <t>2026-04-20</t>
        </is>
      </c>
      <c r="J33" s="3" t="inlineStr">
        <is>
          <t>补齐遗漏内容和适用场景，核对相关输入后组织复核，并保留复核结论。</t>
        </is>
      </c>
      <c r="K33" s="3" t="n"/>
      <c r="L33" s="3" t="inlineStr">
        <is>
          <t>否</t>
        </is>
      </c>
    </row>
    <row r="34" ht="30" customHeight="1">
      <c r="A34" s="3" t="n">
        <v>54</v>
      </c>
      <c r="B34" s="3" t="inlineStr">
        <is>
          <t>15</t>
        </is>
      </c>
      <c r="C34" s="3" t="inlineStr">
        <is>
          <t>相关工作产品未完整覆盖本检查项要求的必要内容和适用场景，当前结果不能支撑该项要求已经全部落实。</t>
        </is>
      </c>
      <c r="D34" s="3" t="n"/>
      <c r="E34" s="3" t="n"/>
      <c r="F34" s="3" t="inlineStr">
        <is>
          <t>严重</t>
        </is>
      </c>
      <c r="G34" s="3" t="inlineStr">
        <is>
          <t>赵要浦</t>
        </is>
      </c>
      <c r="H34" s="3" t="inlineStr">
        <is>
          <t>2026-04-20</t>
        </is>
      </c>
      <c r="I34" s="3" t="inlineStr">
        <is>
          <t>2026-04-20</t>
        </is>
      </c>
      <c r="J34" s="3" t="inlineStr">
        <is>
          <t>补齐遗漏内容和适用场景，核对相关输入后组织复核，并保留复核结论。</t>
        </is>
      </c>
      <c r="K34" s="3" t="n"/>
      <c r="L34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2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J34:K34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C34:E34"/>
    <mergeCell ref="B9:F9"/>
    <mergeCell ref="K17:L17"/>
    <mergeCell ref="H3:I3"/>
    <mergeCell ref="A4:B4"/>
    <mergeCell ref="J3:K3"/>
    <mergeCell ref="C33:E33"/>
    <mergeCell ref="B24:F24"/>
    <mergeCell ref="B20:F20"/>
    <mergeCell ref="B15:F15"/>
    <mergeCell ref="A1:L1"/>
    <mergeCell ref="K10:L10"/>
    <mergeCell ref="K28:L28"/>
    <mergeCell ref="C4:E4"/>
    <mergeCell ref="K19:L19"/>
    <mergeCell ref="J33:K33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'C050-审核配置管理过程-阶段'!C33</f>
        <v/>
      </c>
      <c r="D13" s="3" t="n"/>
      <c r="E13" s="3" t="n"/>
      <c r="F13" s="3">
        <f>'C050-审核配置管理过程-阶段'!F33</f>
        <v/>
      </c>
      <c r="G13" s="3">
        <f>'C050-审核配置管理过程-阶段'!G33</f>
        <v/>
      </c>
      <c r="H13" s="3">
        <f>'C050-审核配置管理过程-阶段'!H33</f>
        <v/>
      </c>
      <c r="I13" s="3">
        <f>'C050-审核配置管理过程-阶段'!I33</f>
        <v/>
      </c>
      <c r="J13" s="3">
        <f>'C050-审核配置管理过程-阶段'!J33</f>
        <v/>
      </c>
      <c r="K13" s="3" t="n"/>
    </row>
    <row r="14" ht="30" customHeight="1">
      <c r="B14" s="3" t="n">
        <v>2</v>
      </c>
      <c r="C14" s="3">
        <f>'C050-审核配置管理过程-阶段'!C34</f>
        <v/>
      </c>
      <c r="D14" s="3" t="n"/>
      <c r="E14" s="3" t="n"/>
      <c r="F14" s="3">
        <f>'C050-审核配置管理过程-阶段'!F34</f>
        <v/>
      </c>
      <c r="G14" s="3">
        <f>'C050-审核配置管理过程-阶段'!G34</f>
        <v/>
      </c>
      <c r="H14" s="3">
        <f>'C050-审核配置管理过程-阶段'!H34</f>
        <v/>
      </c>
      <c r="I14" s="3">
        <f>'C050-审核配置管理过程-阶段'!I34</f>
        <v/>
      </c>
      <c r="J14" s="3">
        <f>'C050-审核配置管理过程-阶段'!J34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55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2026-04-20</t>
        </is>
      </c>
      <c r="I45" s="3" t="inlineStr">
        <is>
          <t>2026-04-20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4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'C051-审核项目监控过程-阶段'!C45</f>
        <v/>
      </c>
      <c r="D13" s="3" t="n"/>
      <c r="E13" s="3" t="n"/>
      <c r="F13" s="3">
        <f>'C051-审核项目监控过程-阶段'!F45</f>
        <v/>
      </c>
      <c r="G13" s="3">
        <f>'C051-审核项目监控过程-阶段'!G45</f>
        <v/>
      </c>
      <c r="H13" s="3">
        <f>'C051-审核项目监控过程-阶段'!H45</f>
        <v/>
      </c>
      <c r="I13" s="3">
        <f>'C051-审核项目监控过程-阶段'!I45</f>
        <v/>
      </c>
      <c r="J13" s="3">
        <f>'C051-审核项目监控过程-阶段'!J45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n"/>
      <c r="H9" s="3" t="inlineStr">
        <is>
          <t>✓</t>
        </is>
      </c>
      <c r="I9" s="3" t="n"/>
      <c r="J9" s="3" t="inlineStr">
        <is>
          <t>一般</t>
        </is>
      </c>
      <c r="K9" s="3" t="inlineStr">
        <is>
          <t>必要内容覆盖不完整</t>
        </is>
      </c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一般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56</v>
      </c>
      <c r="B26" s="3" t="inlineStr">
        <is>
          <t>2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2026-04-20</t>
        </is>
      </c>
      <c r="I26" s="3" t="inlineStr">
        <is>
          <t>2026-04-20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57</v>
      </c>
      <c r="B27" s="3" t="inlineStr">
        <is>
          <t>5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2026-04-20</t>
        </is>
      </c>
      <c r="I27" s="3" t="inlineStr">
        <is>
          <t>2026-04-20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'C052-审核测量与绩效管理-阶段'!C26</f>
        <v/>
      </c>
      <c r="D13" s="3" t="n"/>
      <c r="E13" s="3" t="n"/>
      <c r="F13" s="3">
        <f>'C052-审核测量与绩效管理-阶段'!F26</f>
        <v/>
      </c>
      <c r="G13" s="3">
        <f>'C052-审核测量与绩效管理-阶段'!G26</f>
        <v/>
      </c>
      <c r="H13" s="3">
        <f>'C052-审核测量与绩效管理-阶段'!H26</f>
        <v/>
      </c>
      <c r="I13" s="3">
        <f>'C052-审核测量与绩效管理-阶段'!I26</f>
        <v/>
      </c>
      <c r="J13" s="3">
        <f>'C052-审核测量与绩效管理-阶段'!J26</f>
        <v/>
      </c>
      <c r="K13" s="3" t="n"/>
    </row>
    <row r="14" ht="30" customHeight="1">
      <c r="B14" s="3" t="n">
        <v>2</v>
      </c>
      <c r="C14" s="3">
        <f>'C052-审核测量与绩效管理-阶段'!C27</f>
        <v/>
      </c>
      <c r="D14" s="3" t="n"/>
      <c r="E14" s="3" t="n"/>
      <c r="F14" s="3">
        <f>'C052-审核测量与绩效管理-阶段'!F27</f>
        <v/>
      </c>
      <c r="G14" s="3">
        <f>'C052-审核测量与绩效管理-阶段'!G27</f>
        <v/>
      </c>
      <c r="H14" s="3">
        <f>'C052-审核测量与绩效管理-阶段'!H27</f>
        <v/>
      </c>
      <c r="I14" s="3">
        <f>'C052-审核测量与绩效管理-阶段'!I27</f>
        <v/>
      </c>
      <c r="J14" s="3">
        <f>'C052-审核测量与绩效管理-阶段'!J27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49</v>
      </c>
      <c r="B2">
        <f>'R049-审核验证与确认过程'!F4</f>
        <v/>
      </c>
      <c r="C2">
        <f>'R049-审核验证与确认过程'!B13</f>
        <v/>
      </c>
      <c r="D2" t="inlineStr">
        <is>
          <t>VV</t>
        </is>
      </c>
      <c r="E2">
        <f>'R049-审核验证与确认过程'!C13</f>
        <v/>
      </c>
      <c r="F2">
        <f>'R049-审核验证与确认过程'!F13</f>
        <v/>
      </c>
      <c r="G2" t="inlineStr">
        <is>
          <t>否</t>
        </is>
      </c>
      <c r="H2" t="inlineStr">
        <is>
          <t>2026-04-20</t>
        </is>
      </c>
      <c r="I2" t="inlineStr">
        <is>
          <t>阶段</t>
        </is>
      </c>
      <c r="J2" t="inlineStr">
        <is>
          <t>2026-04-20</t>
        </is>
      </c>
    </row>
    <row r="3">
      <c r="A3" t="n">
        <v>49</v>
      </c>
      <c r="B3">
        <f>'R049-审核验证与确认过程'!F4</f>
        <v/>
      </c>
      <c r="C3">
        <f>'R049-审核验证与确认过程'!B14</f>
        <v/>
      </c>
      <c r="D3" t="inlineStr">
        <is>
          <t>VV</t>
        </is>
      </c>
      <c r="E3">
        <f>'R049-审核验证与确认过程'!C14</f>
        <v/>
      </c>
      <c r="F3">
        <f>'R049-审核验证与确认过程'!F14</f>
        <v/>
      </c>
      <c r="G3" t="inlineStr">
        <is>
          <t>否</t>
        </is>
      </c>
      <c r="H3" t="inlineStr">
        <is>
          <t>2026-04-20</t>
        </is>
      </c>
      <c r="I3" t="inlineStr">
        <is>
          <t>阶段</t>
        </is>
      </c>
      <c r="J3" t="inlineStr">
        <is>
          <t>2026-04-20</t>
        </is>
      </c>
    </row>
    <row r="4">
      <c r="A4" t="n">
        <v>50</v>
      </c>
      <c r="B4">
        <f>'R050-审核配置管理过程-阶段'!F4</f>
        <v/>
      </c>
      <c r="C4">
        <f>'R050-审核配置管理过程-阶段'!B13</f>
        <v/>
      </c>
      <c r="D4" t="inlineStr">
        <is>
          <t>CM</t>
        </is>
      </c>
      <c r="E4">
        <f>'R050-审核配置管理过程-阶段'!C13</f>
        <v/>
      </c>
      <c r="F4">
        <f>'R050-审核配置管理过程-阶段'!F13</f>
        <v/>
      </c>
      <c r="G4" t="inlineStr">
        <is>
          <t>否</t>
        </is>
      </c>
      <c r="H4" t="inlineStr">
        <is>
          <t>2026-04-20</t>
        </is>
      </c>
      <c r="I4" t="inlineStr">
        <is>
          <t>阶段</t>
        </is>
      </c>
      <c r="J4" t="inlineStr">
        <is>
          <t>2026-04-20</t>
        </is>
      </c>
    </row>
    <row r="5">
      <c r="A5" t="n">
        <v>50</v>
      </c>
      <c r="B5">
        <f>'R050-审核配置管理过程-阶段'!F4</f>
        <v/>
      </c>
      <c r="C5">
        <f>'R050-审核配置管理过程-阶段'!B14</f>
        <v/>
      </c>
      <c r="D5" t="inlineStr">
        <is>
          <t>CM</t>
        </is>
      </c>
      <c r="E5">
        <f>'R050-审核配置管理过程-阶段'!C14</f>
        <v/>
      </c>
      <c r="F5">
        <f>'R050-审核配置管理过程-阶段'!F14</f>
        <v/>
      </c>
      <c r="G5" t="inlineStr">
        <is>
          <t>否</t>
        </is>
      </c>
      <c r="H5" t="inlineStr">
        <is>
          <t>2026-04-20</t>
        </is>
      </c>
      <c r="I5" t="inlineStr">
        <is>
          <t>阶段</t>
        </is>
      </c>
      <c r="J5" t="inlineStr">
        <is>
          <t>2026-04-20</t>
        </is>
      </c>
    </row>
    <row r="6">
      <c r="A6" t="n">
        <v>51</v>
      </c>
      <c r="B6">
        <f>'R051-审核项目监控过程-阶段'!F4</f>
        <v/>
      </c>
      <c r="C6">
        <f>'R051-审核项目监控过程-阶段'!B13</f>
        <v/>
      </c>
      <c r="D6" t="inlineStr">
        <is>
          <t>PMC</t>
        </is>
      </c>
      <c r="E6">
        <f>'R051-审核项目监控过程-阶段'!C13</f>
        <v/>
      </c>
      <c r="F6">
        <f>'R051-审核项目监控过程-阶段'!F13</f>
        <v/>
      </c>
      <c r="G6" t="inlineStr">
        <is>
          <t>否</t>
        </is>
      </c>
      <c r="H6" t="inlineStr">
        <is>
          <t>2026-04-20</t>
        </is>
      </c>
      <c r="I6" t="inlineStr">
        <is>
          <t>阶段</t>
        </is>
      </c>
      <c r="J6" t="inlineStr">
        <is>
          <t>2026-04-20</t>
        </is>
      </c>
    </row>
    <row r="7">
      <c r="A7" t="n">
        <v>52</v>
      </c>
      <c r="B7">
        <f>'R052-审核测量与绩效管理-阶段'!F4</f>
        <v/>
      </c>
      <c r="C7">
        <f>'R052-审核测量与绩效管理-阶段'!B13</f>
        <v/>
      </c>
      <c r="D7" t="inlineStr">
        <is>
          <t>MPM</t>
        </is>
      </c>
      <c r="E7">
        <f>'R052-审核测量与绩效管理-阶段'!C13</f>
        <v/>
      </c>
      <c r="F7">
        <f>'R052-审核测量与绩效管理-阶段'!F13</f>
        <v/>
      </c>
      <c r="G7" t="inlineStr">
        <is>
          <t>否</t>
        </is>
      </c>
      <c r="H7" t="inlineStr">
        <is>
          <t>2026-04-20</t>
        </is>
      </c>
      <c r="I7" t="inlineStr">
        <is>
          <t>阶段</t>
        </is>
      </c>
      <c r="J7" t="inlineStr">
        <is>
          <t>2026-04-20</t>
        </is>
      </c>
    </row>
    <row r="8">
      <c r="A8" t="n">
        <v>52</v>
      </c>
      <c r="B8">
        <f>'R052-审核测量与绩效管理-阶段'!F4</f>
        <v/>
      </c>
      <c r="C8">
        <f>'R052-审核测量与绩效管理-阶段'!B14</f>
        <v/>
      </c>
      <c r="D8" t="inlineStr">
        <is>
          <t>MPM</t>
        </is>
      </c>
      <c r="E8">
        <f>'R052-审核测量与绩效管理-阶段'!C14</f>
        <v/>
      </c>
      <c r="F8">
        <f>'R052-审核测量与绩效管理-阶段'!F14</f>
        <v/>
      </c>
      <c r="G8" t="inlineStr">
        <is>
          <t>否</t>
        </is>
      </c>
      <c r="H8" t="inlineStr">
        <is>
          <t>2026-04-20</t>
        </is>
      </c>
      <c r="I8" t="inlineStr">
        <is>
          <t>阶段</t>
        </is>
      </c>
      <c r="J8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2026-08-21T04:53:40Z</dcterms:created>
  <dcterms:modified xmlns:dcterms="http://purl.org/dc/terms/" xmlns:xsi="http://www.w3.org/2001/XMLSchema-instance" xsi:type="dcterms:W3CDTF">2026-08-21T04:53:40Z</dcterms:modified>
</cp:coreProperties>
</file>