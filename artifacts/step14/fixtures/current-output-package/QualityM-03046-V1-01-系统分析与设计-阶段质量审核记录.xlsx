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01-相控阵数字样机软件研制任务书" sheetId="3" state="visible" r:id="rId3"/>
    <sheet xmlns:r="http://schemas.openxmlformats.org/officeDocument/2006/relationships" name="R001-相控阵数字样机软件研制任务书" sheetId="4" state="visible" r:id="rId4"/>
    <sheet xmlns:r="http://schemas.openxmlformats.org/officeDocument/2006/relationships" name="C002-审核需求开发与管理过程" sheetId="5" state="visible" r:id="rId5"/>
    <sheet xmlns:r="http://schemas.openxmlformats.org/officeDocument/2006/relationships" name="R002-审核需求开发与管理过程" sheetId="6" state="visible" r:id="rId6"/>
    <sheet xmlns:r="http://schemas.openxmlformats.org/officeDocument/2006/relationships" name="C003-审核验证与确认过程" sheetId="7" state="visible" r:id="rId7"/>
    <sheet xmlns:r="http://schemas.openxmlformats.org/officeDocument/2006/relationships" name="R003-审核验证与确认过程" sheetId="8" state="visible" r:id="rId8"/>
    <sheet xmlns:r="http://schemas.openxmlformats.org/officeDocument/2006/relationships" name="C004-审核配置管理过程-阶段末" sheetId="9" state="visible" r:id="rId9"/>
    <sheet xmlns:r="http://schemas.openxmlformats.org/officeDocument/2006/relationships" name="R004-审核配置管理过程-阶段末" sheetId="10" state="visible" r:id="rId10"/>
    <sheet xmlns:r="http://schemas.openxmlformats.org/officeDocument/2006/relationships" name="_计算" sheetId="11" state="hidden" r:id="rId11"/>
  </sheets>
  <definedNames>
    <definedName name="_xlnm._FilterDatabase" localSheetId="0" hidden="1">'审核目录'!$A$4:$D$8</definedName>
    <definedName name="_xlnm.Print_Area" localSheetId="0">'审核目录'!$A$1:$D$8</definedName>
    <definedName name="_xlnm.Print_Titles" localSheetId="1">'阶段质量审核工作报告'!$1:$7</definedName>
    <definedName name="_xlnm.Print_Area" localSheetId="1">'阶段质量审核工作报告'!$A$1:$L$20</definedName>
    <definedName name="_xlnm.Print_Titles" localSheetId="2">'C001-相控阵数字样机软件研制任务书'!$1:$6</definedName>
    <definedName name="_xlnm.Print_Area" localSheetId="2">'C001-相控阵数字样机软件研制任务书'!$A$1:$L$28</definedName>
    <definedName name="_xlnm.Print_Titles" localSheetId="3">'R001-相控阵数字样机软件研制任务书'!$1:$12</definedName>
    <definedName name="_xlnm.Print_Area" localSheetId="3">'R001-相控阵数字样机软件研制任务书'!$B$1:$K$18</definedName>
    <definedName name="_xlnm.Print_Titles" localSheetId="4">'C002-审核需求开发与管理过程'!$1:$6</definedName>
    <definedName name="_xlnm.Print_Area" localSheetId="4">'C002-审核需求开发与管理过程'!$A$1:$L$42</definedName>
    <definedName name="_xlnm.Print_Titles" localSheetId="5">'R002-审核需求开发与管理过程'!$1:$12</definedName>
    <definedName name="_xlnm.Print_Area" localSheetId="5">'R002-审核需求开发与管理过程'!$B$1:$K$18</definedName>
    <definedName name="_xlnm.Print_Titles" localSheetId="6">'C003-审核验证与确认过程'!$1:$6</definedName>
    <definedName name="_xlnm.Print_Area" localSheetId="6">'C003-审核验证与确认过程'!$A$1:$L$38</definedName>
    <definedName name="_xlnm.Print_Titles" localSheetId="7">'R003-审核验证与确认过程'!$1:$12</definedName>
    <definedName name="_xlnm.Print_Area" localSheetId="7">'R003-审核验证与确认过程'!$B$1:$K$17</definedName>
    <definedName name="_xlnm.Print_Titles" localSheetId="8">'C004-审核配置管理过程-阶段末'!$1:$6</definedName>
    <definedName name="_xlnm.Print_Area" localSheetId="8">'C004-审核配置管理过程-阶段末'!$A$1:$L$33</definedName>
    <definedName name="_xlnm.Print_Titles" localSheetId="9">'R004-审核配置管理过程-阶段末'!$1:$12</definedName>
    <definedName name="_xlnm.Print_Area" localSheetId="9">'R004-审核配置管理过程-阶段末'!$B$1:$K$17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01-&#30456;&#25511;&#38453;&#25968;&#23383;&#26679;&#26426;&#36719;&#20214;&#30740;&#21046;&#20219;&#21153;&#20070;'!A1" TargetMode="External" Id="rId1"/><Relationship Type="http://schemas.openxmlformats.org/officeDocument/2006/relationships/hyperlink" Target="#'R001-&#30456;&#25511;&#38453;&#25968;&#23383;&#26679;&#26426;&#36719;&#20214;&#30740;&#21046;&#20219;&#21153;&#20070;'!A1" TargetMode="External" Id="rId2"/><Relationship Type="http://schemas.openxmlformats.org/officeDocument/2006/relationships/hyperlink" Target="#'C002-&#23457;&#26680;&#38656;&#27714;&#24320;&#21457;&#19982;&#31649;&#29702;&#36807;&#31243;'!A1" TargetMode="External" Id="rId3"/><Relationship Type="http://schemas.openxmlformats.org/officeDocument/2006/relationships/hyperlink" Target="#'R002-&#23457;&#26680;&#38656;&#27714;&#24320;&#21457;&#19982;&#31649;&#29702;&#36807;&#31243;'!A1" TargetMode="External" Id="rId4"/><Relationship Type="http://schemas.openxmlformats.org/officeDocument/2006/relationships/hyperlink" Target="#'C003-&#23457;&#26680;&#39564;&#35777;&#19982;&#30830;&#35748;&#36807;&#31243;'!A1" TargetMode="External" Id="rId5"/><Relationship Type="http://schemas.openxmlformats.org/officeDocument/2006/relationships/hyperlink" Target="#'R003-&#23457;&#26680;&#39564;&#35777;&#19982;&#30830;&#35748;&#36807;&#31243;'!A1" TargetMode="External" Id="rId6"/><Relationship Type="http://schemas.openxmlformats.org/officeDocument/2006/relationships/hyperlink" Target="#'C004-&#23457;&#26680;&#37197;&#32622;&#31649;&#29702;&#36807;&#31243;-&#38454;&#27573;&#26411;'!A1" TargetMode="External" Id="rId7"/><Relationship Type="http://schemas.openxmlformats.org/officeDocument/2006/relationships/hyperlink" Target="#'R004-&#23457;&#26680;&#37197;&#32622;&#31649;&#29702;&#36807;&#31243;-&#38454;&#27573;&#26411;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阶段：系统分析与设计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1</v>
      </c>
      <c r="B5" s="3" t="inlineStr">
        <is>
          <t>相控阵数字样机软件研制任务书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</v>
      </c>
      <c r="B6" s="3" t="inlineStr">
        <is>
          <t>审核需求开发与管理过程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</v>
      </c>
      <c r="B7" s="3" t="inlineStr">
        <is>
          <t>审核验证与确认过程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4</v>
      </c>
      <c r="B8" s="3" t="inlineStr">
        <is>
          <t>审核配置管理过程-阶段末</t>
        </is>
      </c>
      <c r="C8" s="5" t="inlineStr">
        <is>
          <t>打开检查单</t>
        </is>
      </c>
      <c r="D8" s="5" t="inlineStr">
        <is>
          <t>打开审核报告</t>
        </is>
      </c>
    </row>
  </sheetData>
  <autoFilter ref="A4:D8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系统分析与设计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2025-12-15 至 2025-12-26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未匹配节点汇总：未匹配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30" customHeight="1">
      <c r="A9" s="3" t="n">
        <v>1</v>
      </c>
      <c r="B9" s="3">
        <f>'_计算'!B2</f>
        <v/>
      </c>
      <c r="C9" s="3" t="inlineStr">
        <is>
          <t>2025-12-24</t>
        </is>
      </c>
      <c r="D9" s="3" t="inlineStr">
        <is>
          <t>未匹配节点</t>
        </is>
      </c>
      <c r="E9" s="3">
        <f>'_计算'!D2</f>
        <v/>
      </c>
      <c r="F9" s="3">
        <f>'_计算'!E2</f>
        <v/>
      </c>
      <c r="G9" s="3" t="n"/>
      <c r="H9" s="3" t="n"/>
      <c r="I9" s="3" t="n"/>
      <c r="J9" s="3">
        <f>'_计算'!F2</f>
        <v/>
      </c>
      <c r="K9" s="3">
        <f>'_计算'!G2</f>
        <v/>
      </c>
      <c r="L9" s="3" t="inlineStr">
        <is>
          <t>未确认</t>
        </is>
      </c>
    </row>
    <row r="10" ht="30" customHeight="1">
      <c r="A10" s="3" t="n">
        <v>1</v>
      </c>
      <c r="B10" s="3">
        <f>'_计算'!B3</f>
        <v/>
      </c>
      <c r="C10" s="3" t="inlineStr">
        <is>
          <t>2025-12-24</t>
        </is>
      </c>
      <c r="D10" s="3" t="inlineStr">
        <is>
          <t>未匹配节点</t>
        </is>
      </c>
      <c r="E10" s="3">
        <f>'_计算'!D3</f>
        <v/>
      </c>
      <c r="F10" s="3">
        <f>'_计算'!E3</f>
        <v/>
      </c>
      <c r="G10" s="3" t="n"/>
      <c r="H10" s="3" t="n"/>
      <c r="I10" s="3" t="n"/>
      <c r="J10" s="3">
        <f>'_计算'!F3</f>
        <v/>
      </c>
      <c r="K10" s="3">
        <f>'_计算'!G3</f>
        <v/>
      </c>
      <c r="L10" s="3" t="inlineStr">
        <is>
          <t>未确认</t>
        </is>
      </c>
    </row>
    <row r="11" ht="30" customHeight="1">
      <c r="A11" s="3" t="n">
        <v>2</v>
      </c>
      <c r="B11" s="3">
        <f>'_计算'!B4</f>
        <v/>
      </c>
      <c r="C11" s="3" t="inlineStr">
        <is>
          <t>2025-12-25</t>
        </is>
      </c>
      <c r="D11" s="3" t="inlineStr">
        <is>
          <t>未匹配节点</t>
        </is>
      </c>
      <c r="E11" s="3">
        <f>'_计算'!D4</f>
        <v/>
      </c>
      <c r="F11" s="3">
        <f>'_计算'!E4</f>
        <v/>
      </c>
      <c r="G11" s="3" t="n"/>
      <c r="H11" s="3" t="n"/>
      <c r="I11" s="3" t="n"/>
      <c r="J11" s="3">
        <f>'_计算'!F4</f>
        <v/>
      </c>
      <c r="K11" s="3">
        <f>'_计算'!G4</f>
        <v/>
      </c>
      <c r="L11" s="3" t="inlineStr">
        <is>
          <t>未确认</t>
        </is>
      </c>
    </row>
    <row r="12" ht="30" customHeight="1">
      <c r="A12" s="3" t="n">
        <v>2</v>
      </c>
      <c r="B12" s="3">
        <f>'_计算'!B5</f>
        <v/>
      </c>
      <c r="C12" s="3" t="inlineStr">
        <is>
          <t>2025-12-25</t>
        </is>
      </c>
      <c r="D12" s="3" t="inlineStr">
        <is>
          <t>未匹配节点</t>
        </is>
      </c>
      <c r="E12" s="3">
        <f>'_计算'!D5</f>
        <v/>
      </c>
      <c r="F12" s="3">
        <f>'_计算'!E5</f>
        <v/>
      </c>
      <c r="G12" s="3" t="n"/>
      <c r="H12" s="3" t="n"/>
      <c r="I12" s="3" t="n"/>
      <c r="J12" s="3">
        <f>'_计算'!F5</f>
        <v/>
      </c>
      <c r="K12" s="3">
        <f>'_计算'!G5</f>
        <v/>
      </c>
      <c r="L12" s="3" t="inlineStr">
        <is>
          <t>未确认</t>
        </is>
      </c>
    </row>
    <row r="13" ht="18" customHeight="1">
      <c r="A13" s="3" t="n">
        <v>3</v>
      </c>
      <c r="B13" s="3" t="inlineStr">
        <is>
          <t>审核验证与确认过程</t>
        </is>
      </c>
      <c r="C13" s="3" t="inlineStr">
        <is>
          <t>2025-12-25</t>
        </is>
      </c>
      <c r="D13" s="3" t="inlineStr">
        <is>
          <t>未匹配节点</t>
        </is>
      </c>
      <c r="E13" s="3" t="n"/>
      <c r="F13" s="3" t="inlineStr">
        <is>
          <t>未发现不符合项</t>
        </is>
      </c>
      <c r="G13" s="3" t="n"/>
      <c r="H13" s="3" t="n"/>
      <c r="I13" s="3" t="n"/>
      <c r="J13" s="3" t="n"/>
      <c r="K13" s="3" t="n"/>
      <c r="L13" s="3" t="inlineStr">
        <is>
          <t>未确认</t>
        </is>
      </c>
    </row>
    <row r="14" ht="18" customHeight="1">
      <c r="A14" s="3" t="n">
        <v>4</v>
      </c>
      <c r="B14" s="3" t="inlineStr">
        <is>
          <t>审核配置管理过程-阶段末</t>
        </is>
      </c>
      <c r="C14" s="3" t="inlineStr">
        <is>
          <t>2025-12-26</t>
        </is>
      </c>
      <c r="D14" s="3" t="inlineStr">
        <is>
          <t>未匹配节点</t>
        </is>
      </c>
      <c r="E14" s="3" t="n"/>
      <c r="F14" s="3" t="inlineStr">
        <is>
          <t>未发现不符合项</t>
        </is>
      </c>
      <c r="G14" s="3" t="n"/>
      <c r="H14" s="3" t="n"/>
      <c r="I14" s="3" t="n"/>
      <c r="J14" s="3" t="n"/>
      <c r="K14" s="3" t="n"/>
      <c r="L14" s="3" t="inlineStr">
        <is>
          <t>未确认</t>
        </is>
      </c>
    </row>
    <row r="15">
      <c r="A15" s="7" t="inlineStr">
        <is>
          <t>节点统计</t>
        </is>
      </c>
      <c r="B15" s="7" t="n"/>
      <c r="C15" s="7" t="n"/>
      <c r="D15" s="7" t="n"/>
      <c r="E15" s="7" t="inlineStr">
        <is>
          <t>NC总数</t>
        </is>
      </c>
      <c r="F15" s="7">
        <f>COUNTIF(J9:J14,"?*")</f>
        <v/>
      </c>
      <c r="G15" s="7" t="inlineStr">
        <is>
          <t>未关闭</t>
        </is>
      </c>
      <c r="H15" s="7">
        <f>COUNTIF(K9:K14,"否")</f>
        <v/>
      </c>
      <c r="I15" s="7" t="inlineStr">
        <is>
          <t>严重</t>
        </is>
      </c>
      <c r="J15" s="7">
        <f>COUNTIF(J9:J14,"严重")</f>
        <v/>
      </c>
      <c r="K15" s="7" t="n"/>
      <c r="L15" s="7" t="n"/>
    </row>
    <row r="17">
      <c r="A17" s="8" t="inlineStr">
        <is>
          <t>阶段汇总统计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7" t="inlineStr">
        <is>
          <t>产品NC总数</t>
        </is>
      </c>
      <c r="B18" s="7">
        <f>COUNTIF('_计算'!D2:D5,"工作产品")</f>
        <v/>
      </c>
      <c r="C18" s="7" t="inlineStr">
        <is>
          <t>过程NC总数</t>
        </is>
      </c>
      <c r="D18" s="7">
        <f>COUNTIFS('_计算'!D2:D5,"&lt;&gt;工作产品",'_计算'!D2:D5,"&lt;&gt;")</f>
        <v/>
      </c>
      <c r="E18" s="7" t="inlineStr">
        <is>
          <t>未关闭NC数</t>
        </is>
      </c>
      <c r="F18" s="7">
        <f>COUNTIF('_计算'!G2:G5,"否")</f>
        <v/>
      </c>
      <c r="G18" s="7" t="inlineStr">
        <is>
          <t>轻微</t>
        </is>
      </c>
      <c r="H18" s="7">
        <f>COUNTIF('_计算'!F2:F5,"轻微")</f>
        <v/>
      </c>
      <c r="I18" s="7" t="inlineStr">
        <is>
          <t>一般</t>
        </is>
      </c>
      <c r="J18" s="7">
        <f>COUNTIF('_计算'!F2:F5,"一般")</f>
        <v/>
      </c>
      <c r="K18" s="7" t="inlineStr">
        <is>
          <t>严重</t>
        </is>
      </c>
      <c r="L18" s="7">
        <f>COUNTIF('_计算'!F2:F5,"严重")</f>
        <v/>
      </c>
    </row>
    <row r="19">
      <c r="A19" s="4" t="inlineStr">
        <is>
          <t>RDM</t>
        </is>
      </c>
      <c r="B19" s="4" t="inlineStr">
        <is>
          <t>PP</t>
        </is>
      </c>
      <c r="C19" s="4" t="inlineStr">
        <is>
          <t>PMC</t>
        </is>
      </c>
      <c r="D19" s="4" t="inlineStr">
        <is>
          <t>CM</t>
        </is>
      </c>
      <c r="E19" s="4" t="inlineStr">
        <is>
          <t>MT</t>
        </is>
      </c>
      <c r="F19" s="4" t="inlineStr">
        <is>
          <t>MPM</t>
        </is>
      </c>
      <c r="G19" s="4" t="inlineStr">
        <is>
          <t>VV</t>
        </is>
      </c>
      <c r="H19" s="4" t="inlineStr">
        <is>
          <t>LD</t>
        </is>
      </c>
      <c r="I19" s="4" t="inlineStr">
        <is>
          <t>II</t>
        </is>
      </c>
      <c r="J19" s="4" t="inlineStr">
        <is>
          <t>工作产品</t>
        </is>
      </c>
      <c r="K19" s="4" t="inlineStr">
        <is>
          <t>总计</t>
        </is>
      </c>
    </row>
    <row r="20">
      <c r="A20" s="4">
        <f>COUNTIF('_计算'!D2:D5,"RDM")</f>
        <v/>
      </c>
      <c r="B20" s="4">
        <f>COUNTIF('_计算'!D2:D5,"PP")</f>
        <v/>
      </c>
      <c r="C20" s="4">
        <f>COUNTIF('_计算'!D2:D5,"PMC")</f>
        <v/>
      </c>
      <c r="D20" s="4">
        <f>COUNTIF('_计算'!D2:D5,"CM")</f>
        <v/>
      </c>
      <c r="E20" s="4">
        <f>COUNTIF('_计算'!D2:D5,"MT")</f>
        <v/>
      </c>
      <c r="F20" s="4">
        <f>COUNTIF('_计算'!D2:D5,"MPM")</f>
        <v/>
      </c>
      <c r="G20" s="4">
        <f>COUNTIF('_计算'!D2:D5,"VV")</f>
        <v/>
      </c>
      <c r="H20" s="4">
        <f>COUNTIF('_计算'!D2:D5,"LD")</f>
        <v/>
      </c>
      <c r="I20" s="4">
        <f>COUNTIF('_计算'!D2:D5,"II")</f>
        <v/>
      </c>
      <c r="J20" s="4">
        <f>COUNTIF('_计算'!D2:D5,"工作产品")</f>
        <v/>
      </c>
      <c r="K20" s="4">
        <f>SUM(A20:J20)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F13:I13"/>
    <mergeCell ref="F9:I9"/>
    <mergeCell ref="I4:L4"/>
    <mergeCell ref="F14:I14"/>
    <mergeCell ref="A2:L2"/>
    <mergeCell ref="C3:F3"/>
    <mergeCell ref="F11:I11"/>
    <mergeCell ref="A8:L8"/>
    <mergeCell ref="A15:D15"/>
    <mergeCell ref="A17:L17"/>
    <mergeCell ref="F10:I10"/>
    <mergeCell ref="A3:B3"/>
    <mergeCell ref="G3:H3"/>
    <mergeCell ref="C4:F4"/>
    <mergeCell ref="F12:I12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软件研制任务书检查单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相控阵数字样机软件研制任务书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ZDPX03046/0.0-YZRW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文档编写是否符合模板的规范性要求。</t>
        </is>
      </c>
      <c r="C8" s="3" t="n"/>
      <c r="D8" s="3" t="n"/>
      <c r="E8" s="3" t="n"/>
      <c r="F8" s="3" t="n"/>
      <c r="G8" s="3" t="n"/>
      <c r="H8" s="3" t="inlineStr">
        <is>
          <t>✓</t>
        </is>
      </c>
      <c r="I8" s="3" t="n"/>
      <c r="J8" s="3" t="inlineStr">
        <is>
          <t>一般</t>
        </is>
      </c>
      <c r="K8" s="3" t="inlineStr">
        <is>
          <t>Step14 验收问题</t>
        </is>
      </c>
      <c r="L8" s="3" t="n"/>
    </row>
    <row r="9" ht="18" customHeight="1">
      <c r="A9" s="3" t="inlineStr">
        <is>
          <t>2</t>
        </is>
      </c>
      <c r="B9" s="3" t="inlineStr">
        <is>
          <t>是否清楚描述了软件运行必需的软硬件环境要求。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是否准确清晰的描述了需要由软件产品完成的所有功能要求，并进行了标识。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4*</t>
        </is>
      </c>
      <c r="B11" s="3" t="inlineStr">
        <is>
          <t>是否准确清晰的描述了软件产品要满足的所有性能要求，并进行了标识。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是否准确清晰的描述软件产品的外部接口要求，并进行了标识。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严重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是否准确清晰的描述了对数据参数的处理要求，并进行了标识。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30" customHeight="1">
      <c r="A14" s="3" t="inlineStr">
        <is>
          <t>7</t>
        </is>
      </c>
      <c r="B14" s="3" t="inlineStr">
        <is>
          <t>是否准确清晰的描述了对软件产品的其它关键性要求，如可靠性、安全性、保密性等要求，并进行了标识。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30" customHeight="1">
      <c r="A15" s="3" t="inlineStr">
        <is>
          <t>8</t>
        </is>
      </c>
      <c r="B15" s="3" t="inlineStr">
        <is>
          <t>是否准确清晰的描述了对软件设计有约束的相关要求，如编程语言、开发环境和工具、重用性、数学模型和算法等。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9*</t>
        </is>
      </c>
      <c r="B16" s="3" t="inlineStr">
        <is>
          <t>是否明确描述了软件的关键性等级并说明原因。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是否给出了软件开发应遵循的标准。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是否给出了应有的开发文档清单及对文档的评审要求和规范性要求。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是否描述了软件的配置管理要求。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是否描述了软件的测试要求。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当存在分承制方时，是否描述了对分承制方的要求。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是否描述了软件的交付要求和移交后的保障维护要求。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是否明确给出了项目的进度要求、里程碑节点及合同甲方或用户需参加的评审活动？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5">
      <c r="A25" s="7" t="inlineStr">
        <is>
          <t>不符合项问题明细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4" t="inlineStr">
        <is>
          <t>问题ID</t>
        </is>
      </c>
      <c r="B26" s="4" t="inlineStr">
        <is>
          <t>检查项</t>
        </is>
      </c>
      <c r="C26" s="4" t="inlineStr">
        <is>
          <t>问题描述</t>
        </is>
      </c>
      <c r="D26" s="4" t="inlineStr"/>
      <c r="E26" s="4" t="inlineStr"/>
      <c r="F26" s="4" t="inlineStr">
        <is>
          <t>严重程度</t>
        </is>
      </c>
      <c r="G26" s="4" t="inlineStr">
        <is>
          <t>责任人</t>
        </is>
      </c>
      <c r="H26" s="4" t="inlineStr">
        <is>
          <t>提交日期</t>
        </is>
      </c>
      <c r="I26" s="4" t="inlineStr">
        <is>
          <t>计划关闭日期</t>
        </is>
      </c>
      <c r="J26" s="4" t="inlineStr">
        <is>
          <t>纠正措施</t>
        </is>
      </c>
      <c r="K26" s="4" t="inlineStr"/>
      <c r="L26" s="4" t="inlineStr">
        <is>
          <t>关闭</t>
        </is>
      </c>
    </row>
    <row r="27" ht="30" customHeight="1">
      <c r="A27" s="3" t="n">
        <v>1</v>
      </c>
      <c r="B27" s="3" t="inlineStr">
        <is>
          <t>1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2025-12-24</t>
        </is>
      </c>
      <c r="I27" s="3" t="inlineStr">
        <is>
          <t>2025-12-25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  <row r="28" ht="30" customHeight="1">
      <c r="A28" s="3" t="n">
        <v>2</v>
      </c>
      <c r="B28" s="3" t="inlineStr">
        <is>
          <t>5</t>
        </is>
      </c>
      <c r="C28" s="3" t="inlineStr">
        <is>
          <t>相关工作产品未完整覆盖本检查项要求的必要内容和适用场景，当前结果不能支撑该项要求已经全部落实。</t>
        </is>
      </c>
      <c r="D28" s="3" t="n"/>
      <c r="E28" s="3" t="n"/>
      <c r="F28" s="3" t="inlineStr">
        <is>
          <t>严重</t>
        </is>
      </c>
      <c r="G28" s="3" t="inlineStr">
        <is>
          <t>赵要浦</t>
        </is>
      </c>
      <c r="H28" s="3" t="inlineStr">
        <is>
          <t>2025-12-24</t>
        </is>
      </c>
      <c r="I28" s="3" t="inlineStr">
        <is>
          <t>2025-12-25</t>
        </is>
      </c>
      <c r="J28" s="3" t="inlineStr">
        <is>
          <t>补齐遗漏内容和适用场景，核对相关输入后组织复核，并保留复核结论。</t>
        </is>
      </c>
      <c r="K28" s="3" t="n"/>
      <c r="L2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0">
    <mergeCell ref="K16:L16"/>
    <mergeCell ref="F4:G4"/>
    <mergeCell ref="A7:L7"/>
    <mergeCell ref="A25:L25"/>
    <mergeCell ref="B16:F16"/>
    <mergeCell ref="K15:L15"/>
    <mergeCell ref="K9:L9"/>
    <mergeCell ref="H4:I4"/>
    <mergeCell ref="B22:F22"/>
    <mergeCell ref="J28:K28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B23:F23"/>
    <mergeCell ref="J27:K27"/>
    <mergeCell ref="B8:F8"/>
    <mergeCell ref="B14:F14"/>
    <mergeCell ref="K22:L22"/>
    <mergeCell ref="A3:B3"/>
    <mergeCell ref="B17:F17"/>
    <mergeCell ref="B13:F13"/>
    <mergeCell ref="J4:K4"/>
    <mergeCell ref="C28:E28"/>
    <mergeCell ref="K12:L12"/>
    <mergeCell ref="K8:L8"/>
    <mergeCell ref="B10:F10"/>
    <mergeCell ref="B19:F19"/>
    <mergeCell ref="C3:E3"/>
    <mergeCell ref="K23:L23"/>
    <mergeCell ref="K14:L14"/>
    <mergeCell ref="B9:F9"/>
    <mergeCell ref="K17:L17"/>
    <mergeCell ref="H3:I3"/>
    <mergeCell ref="A4:B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相控阵数字样机软件研制任务书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本次审核依据《软件研制任务书检查单》实施。经审核，发现2个不符合项。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'C001-相控阵数字样机软件研制任务书'!C27</f>
        <v/>
      </c>
      <c r="D13" s="3" t="n"/>
      <c r="E13" s="3" t="n"/>
      <c r="F13" s="3">
        <f>'C001-相控阵数字样机软件研制任务书'!F27</f>
        <v/>
      </c>
      <c r="G13" s="3">
        <f>'C001-相控阵数字样机软件研制任务书'!G27</f>
        <v/>
      </c>
      <c r="H13" s="3">
        <f>'C001-相控阵数字样机软件研制任务书'!H27</f>
        <v/>
      </c>
      <c r="I13" s="3">
        <f>'C001-相控阵数字样机软件研制任务书'!I27</f>
        <v/>
      </c>
      <c r="J13" s="3">
        <f>'C001-相控阵数字样机软件研制任务书'!J27</f>
        <v/>
      </c>
      <c r="K13" s="3" t="n"/>
    </row>
    <row r="14" ht="30" customHeight="1">
      <c r="B14" s="3" t="n">
        <v>2</v>
      </c>
      <c r="C14" s="3">
        <f>'C001-相控阵数字样机软件研制任务书'!C28</f>
        <v/>
      </c>
      <c r="D14" s="3" t="n"/>
      <c r="E14" s="3" t="n"/>
      <c r="F14" s="3">
        <f>'C001-相控阵数字样机软件研制任务书'!F28</f>
        <v/>
      </c>
      <c r="G14" s="3">
        <f>'C001-相控阵数字样机软件研制任务书'!G28</f>
        <v/>
      </c>
      <c r="H14" s="3">
        <f>'C001-相控阵数字样机软件研制任务书'!H28</f>
        <v/>
      </c>
      <c r="I14" s="3">
        <f>'C001-相控阵数字样机软件研制任务书'!I28</f>
        <v/>
      </c>
      <c r="J14" s="3">
        <f>'C001-相控阵数字样机软件研制任务书'!J28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n"/>
      <c r="H16" s="3" t="inlineStr">
        <is>
          <t>✓</t>
        </is>
      </c>
      <c r="I16" s="3" t="n"/>
      <c r="J16" s="3" t="inlineStr">
        <is>
          <t>一般</t>
        </is>
      </c>
      <c r="K16" s="3" t="inlineStr">
        <is>
          <t>必要内容覆盖不完整</t>
        </is>
      </c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n"/>
      <c r="H35" s="3" t="inlineStr">
        <is>
          <t>✓</t>
        </is>
      </c>
      <c r="I35" s="3" t="n"/>
      <c r="J35" s="3" t="inlineStr">
        <is>
          <t>一般</t>
        </is>
      </c>
      <c r="K35" s="3" t="inlineStr">
        <is>
          <t>必要内容覆盖不完整</t>
        </is>
      </c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</v>
      </c>
      <c r="B41" s="3" t="inlineStr">
        <is>
          <t>9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一般</t>
        </is>
      </c>
      <c r="G41" s="3" t="inlineStr">
        <is>
          <t>赵要浦</t>
        </is>
      </c>
      <c r="H41" s="3" t="inlineStr">
        <is>
          <t>2025-12-25</t>
        </is>
      </c>
      <c r="I41" s="3" t="inlineStr">
        <is>
          <t>2025-12-25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  <row r="42" ht="30" customHeight="1">
      <c r="A42" s="3" t="n">
        <v>4</v>
      </c>
      <c r="B42" s="3" t="inlineStr">
        <is>
          <t>27</t>
        </is>
      </c>
      <c r="C42" s="3" t="inlineStr">
        <is>
          <t>相关工作产品未完整覆盖本检查项要求的必要内容和适用场景，当前结果不能支撑该项要求已经全部落实。</t>
        </is>
      </c>
      <c r="D42" s="3" t="n"/>
      <c r="E42" s="3" t="n"/>
      <c r="F42" s="3" t="inlineStr">
        <is>
          <t>一般</t>
        </is>
      </c>
      <c r="G42" s="3" t="inlineStr">
        <is>
          <t>赵要浦</t>
        </is>
      </c>
      <c r="H42" s="3" t="inlineStr">
        <is>
          <t>2025-12-25</t>
        </is>
      </c>
      <c r="I42" s="3" t="inlineStr">
        <is>
          <t>2025-12-25</t>
        </is>
      </c>
      <c r="J42" s="3" t="inlineStr">
        <is>
          <t>补齐遗漏内容和适用场景，核对相关输入后组织复核，并保留复核结论。</t>
        </is>
      </c>
      <c r="K42" s="3" t="n"/>
      <c r="L42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7">
    <mergeCell ref="B16:F16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C42:E42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B8:F8"/>
    <mergeCell ref="B17:F17"/>
    <mergeCell ref="B10:F10"/>
    <mergeCell ref="B19:F19"/>
    <mergeCell ref="K27:L27"/>
    <mergeCell ref="B9:F9"/>
    <mergeCell ref="K17:L17"/>
    <mergeCell ref="H3:I3"/>
    <mergeCell ref="A24:L24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23:F23"/>
    <mergeCell ref="K31:L31"/>
    <mergeCell ref="A3:B3"/>
    <mergeCell ref="B13:F13"/>
    <mergeCell ref="K8:L8"/>
    <mergeCell ref="K23:L23"/>
    <mergeCell ref="A4:B4"/>
    <mergeCell ref="J42:K42"/>
    <mergeCell ref="C4:E4"/>
    <mergeCell ref="B36:F36"/>
    <mergeCell ref="K18:L18"/>
    <mergeCell ref="A7:L7"/>
    <mergeCell ref="K34:L34"/>
    <mergeCell ref="C41:E41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J41:K41"/>
    <mergeCell ref="C3:E3"/>
    <mergeCell ref="K14:L14"/>
    <mergeCell ref="A39:L39"/>
    <mergeCell ref="B33:F33"/>
    <mergeCell ref="A1:L1"/>
    <mergeCell ref="B32:F32"/>
    <mergeCell ref="B26:F26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'C002-审核需求开发与管理过程'!C41</f>
        <v/>
      </c>
      <c r="D13" s="3" t="n"/>
      <c r="E13" s="3" t="n"/>
      <c r="F13" s="3">
        <f>'C002-审核需求开发与管理过程'!F41</f>
        <v/>
      </c>
      <c r="G13" s="3">
        <f>'C002-审核需求开发与管理过程'!G41</f>
        <v/>
      </c>
      <c r="H13" s="3">
        <f>'C002-审核需求开发与管理过程'!H41</f>
        <v/>
      </c>
      <c r="I13" s="3">
        <f>'C002-审核需求开发与管理过程'!I41</f>
        <v/>
      </c>
      <c r="J13" s="3">
        <f>'C002-审核需求开发与管理过程'!J41</f>
        <v/>
      </c>
      <c r="K13" s="3" t="n"/>
    </row>
    <row r="14" ht="30" customHeight="1">
      <c r="B14" s="3" t="n">
        <v>2</v>
      </c>
      <c r="C14" s="3">
        <f>'C002-审核需求开发与管理过程'!C42</f>
        <v/>
      </c>
      <c r="D14" s="3" t="n"/>
      <c r="E14" s="3" t="n"/>
      <c r="F14" s="3">
        <f>'C002-审核需求开发与管理过程'!F42</f>
        <v/>
      </c>
      <c r="G14" s="3">
        <f>'C002-审核需求开发与管理过程'!G42</f>
        <v/>
      </c>
      <c r="H14" s="3">
        <f>'C002-审核需求开发与管理过程'!H42</f>
        <v/>
      </c>
      <c r="I14" s="3">
        <f>'C002-审核需求开发与管理过程'!I42</f>
        <v/>
      </c>
      <c r="J14" s="3">
        <f>'C002-审核需求开发与管理过程'!J42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>
      <c r="A38" s="3" t="inlineStr">
        <is>
          <t>本次审核未发现不符合项。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K34:L34"/>
    <mergeCell ref="B16:F16"/>
    <mergeCell ref="K24:L24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20:L20"/>
    <mergeCell ref="A38:L38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2025-12-25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系统分析与设计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编号：ZDPX-03046/0.0-QA-审核报告-004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系统分析与设计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2025-12-26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ZDPX-03046/0.0-QA-检查单-004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1</v>
      </c>
      <c r="B2">
        <f>'R001-相控阵数字样机软件研制任务书'!F4</f>
        <v/>
      </c>
      <c r="C2">
        <f>'R001-相控阵数字样机软件研制任务书'!B13</f>
        <v/>
      </c>
      <c r="D2" t="inlineStr">
        <is>
          <t>工作产品</t>
        </is>
      </c>
      <c r="E2">
        <f>'R001-相控阵数字样机软件研制任务书'!C13</f>
        <v/>
      </c>
      <c r="F2">
        <f>'R001-相控阵数字样机软件研制任务书'!F13</f>
        <v/>
      </c>
      <c r="G2" t="inlineStr">
        <is>
          <t>否</t>
        </is>
      </c>
      <c r="H2" t="inlineStr">
        <is>
          <t>未匹配</t>
        </is>
      </c>
      <c r="I2" t="inlineStr">
        <is>
          <t>未匹配节点</t>
        </is>
      </c>
      <c r="J2" t="inlineStr">
        <is>
          <t>2025-12-24</t>
        </is>
      </c>
    </row>
    <row r="3">
      <c r="A3" t="n">
        <v>1</v>
      </c>
      <c r="B3">
        <f>'R001-相控阵数字样机软件研制任务书'!F4</f>
        <v/>
      </c>
      <c r="C3">
        <f>'R001-相控阵数字样机软件研制任务书'!B14</f>
        <v/>
      </c>
      <c r="D3" t="inlineStr">
        <is>
          <t>工作产品</t>
        </is>
      </c>
      <c r="E3">
        <f>'R001-相控阵数字样机软件研制任务书'!C14</f>
        <v/>
      </c>
      <c r="F3">
        <f>'R001-相控阵数字样机软件研制任务书'!F14</f>
        <v/>
      </c>
      <c r="G3" t="inlineStr">
        <is>
          <t>否</t>
        </is>
      </c>
      <c r="H3" t="inlineStr">
        <is>
          <t>未匹配</t>
        </is>
      </c>
      <c r="I3" t="inlineStr">
        <is>
          <t>未匹配节点</t>
        </is>
      </c>
      <c r="J3" t="inlineStr">
        <is>
          <t>2025-12-24</t>
        </is>
      </c>
    </row>
    <row r="4">
      <c r="A4" t="n">
        <v>2</v>
      </c>
      <c r="B4">
        <f>'R002-审核需求开发与管理过程'!F4</f>
        <v/>
      </c>
      <c r="C4">
        <f>'R002-审核需求开发与管理过程'!B13</f>
        <v/>
      </c>
      <c r="D4" t="inlineStr">
        <is>
          <t>RDM</t>
        </is>
      </c>
      <c r="E4">
        <f>'R002-审核需求开发与管理过程'!C13</f>
        <v/>
      </c>
      <c r="F4">
        <f>'R002-审核需求开发与管理过程'!F13</f>
        <v/>
      </c>
      <c r="G4" t="inlineStr">
        <is>
          <t>否</t>
        </is>
      </c>
      <c r="H4" t="inlineStr">
        <is>
          <t>未匹配</t>
        </is>
      </c>
      <c r="I4" t="inlineStr">
        <is>
          <t>未匹配节点</t>
        </is>
      </c>
      <c r="J4" t="inlineStr">
        <is>
          <t>2025-12-25</t>
        </is>
      </c>
    </row>
    <row r="5">
      <c r="A5" t="n">
        <v>2</v>
      </c>
      <c r="B5">
        <f>'R002-审核需求开发与管理过程'!F4</f>
        <v/>
      </c>
      <c r="C5">
        <f>'R002-审核需求开发与管理过程'!B14</f>
        <v/>
      </c>
      <c r="D5" t="inlineStr">
        <is>
          <t>RDM</t>
        </is>
      </c>
      <c r="E5">
        <f>'R002-审核需求开发与管理过程'!C14</f>
        <v/>
      </c>
      <c r="F5">
        <f>'R002-审核需求开发与管理过程'!F14</f>
        <v/>
      </c>
      <c r="G5" t="inlineStr">
        <is>
          <t>否</t>
        </is>
      </c>
      <c r="H5" t="inlineStr">
        <is>
          <t>未匹配</t>
        </is>
      </c>
      <c r="I5" t="inlineStr">
        <is>
          <t>未匹配节点</t>
        </is>
      </c>
      <c r="J5" t="inlineStr">
        <is>
          <t>2025-12-25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2026-08-22T08:53:50Z</dcterms:created>
  <dcterms:modified xmlns:dcterms="http://purl.org/dc/terms/" xmlns:xsi="http://www.w3.org/2001/XMLSchema-instance" xsi:type="dcterms:W3CDTF">2026-08-22T08:53:50Z</dcterms:modified>
</cp:coreProperties>
</file>